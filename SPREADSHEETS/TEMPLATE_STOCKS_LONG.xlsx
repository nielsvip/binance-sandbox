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WT_15M_BOUNCE_OPEN_ENABLED</t>
        </is>
      </c>
      <c r="B3" s="0" t="inlineStr">
        <is>
          <t>False</t>
        </is>
      </c>
      <c r="E3" s="0">
        <f>TEMPLATE_BASELINE_METRICS!B2</f>
        <v/>
      </c>
      <c r="G3" s="0">
        <f>IFERROR(VLOOKUP($A3&amp;"="&amp;$B3,Results_Deltas!$A$2:$P$15000,5,FALSE),"")</f>
        <v/>
      </c>
      <c r="H3" s="0">
        <f>IFERROR(VLOOKUP($A3,Results_30d_Deltas!$A$2:$H$5000,7,FALSE)-E3,"")</f>
        <v/>
      </c>
      <c r="I3" s="0">
        <f>IFERROR(VLOOKUP($A3,Results_30d_Deltas!$A$2:$H$5000,6,FALSE),"")</f>
        <v/>
      </c>
      <c r="L3" s="0" t="inlineStr">
        <is>
          <t>YES</t>
        </is>
      </c>
      <c r="M3" s="0" t="n">
        <v>-11.30092950023047</v>
      </c>
      <c r="IL3" s="0" t="inlineStr">
        <is>
          <t>ez_manage.py:6076 top()</t>
        </is>
      </c>
      <c r="IM3" s="0" t="inlineStr">
        <is>
          <t>v12_quick_engine.py:4288 x7</t>
        </is>
      </c>
    </row>
    <row r="4" ht="10.5" customHeight="1" s="67">
      <c r="A4" s="0" t="inlineStr">
        <is>
          <t>WT_15M_BOUNCE_OPEN_ENABLED</t>
        </is>
      </c>
      <c r="B4" s="0" t="inlineStr">
        <is>
          <t>True</t>
        </is>
      </c>
      <c r="E4" s="0">
        <f>IF(G4="",E3,IF(G4&gt;0,E3+G4,E3))</f>
        <v/>
      </c>
      <c r="G4" s="0">
        <f>IFERROR(VLOOKUP($A4&amp;"_"&amp;$B4,Results_Deltas!$A$2:$P$15000,5,FALSE),"")</f>
        <v/>
      </c>
      <c r="H4" s="0">
        <f>IFERROR(VLOOKUP($A4,Results_30d_Deltas!$A$2:$H$5000,7,FALSE)-E3,"")</f>
        <v/>
      </c>
      <c r="I4" s="0">
        <f>IFERROR(VLOOKUP($A4,Results_30d_Deltas!$A$2:$H$5000,6,FALSE),"")</f>
        <v/>
      </c>
      <c r="L4" s="0" t="inlineStr">
        <is>
          <t>NO</t>
        </is>
      </c>
      <c r="M4" s="0" t="n">
        <v>7.071010733222724</v>
      </c>
      <c r="IL4" s="0" t="inlineStr">
        <is>
          <t>ez_manage.py:6076 top()</t>
        </is>
      </c>
      <c r="IM4" s="0" t="inlineStr">
        <is>
          <t>v12_quick_engine.py:4288 x7</t>
        </is>
      </c>
    </row>
    <row r="5" ht="10.5" customHeight="1" s="67">
      <c r="A5" s="0" t="inlineStr">
        <is>
          <t>WT_MOMENTUM_EXIT_THRESHOLD</t>
        </is>
      </c>
      <c r="B5" s="0" t="inlineStr">
        <is>
          <t>2</t>
        </is>
      </c>
      <c r="E5" s="0">
        <f>IF(G15="",E14,IF(G15&gt;0,E14+G15,E14))</f>
        <v/>
      </c>
      <c r="G5" s="0">
        <f>IFERROR(VLOOKUP($A15&amp;"_"&amp;$B15,Results_Deltas!$A$2:$P$15000,5,FALSE),"")</f>
        <v/>
      </c>
      <c r="H5" s="0">
        <f>IFERROR(VLOOKUP($A15,Results_30d_Deltas!$A$2:$H$5000,7,FALSE)-E14,"")</f>
        <v/>
      </c>
      <c r="I5" s="0">
        <f>IFERROR(VLOOKUP($A15,Results_30d_Deltas!$A$2:$H$5000,6,FALSE),"")</f>
        <v/>
      </c>
      <c r="L5" s="0" t="inlineStr">
        <is>
          <t>NO</t>
        </is>
      </c>
      <c r="M5" s="0" t="n">
        <v>-3.742470648103667</v>
      </c>
      <c r="IL5" s="0" t="inlineStr">
        <is>
          <t>ez_manage.py:6087 top()</t>
        </is>
      </c>
      <c r="IM5" s="0" t="inlineStr">
        <is>
          <t>v12_quick_engine.py:4293 x3</t>
        </is>
      </c>
    </row>
    <row r="6" ht="15.75" customHeight="1" s="67">
      <c r="A6" s="0" t="inlineStr">
        <is>
          <t>BB_SQUEEZE_WIDTH_PERCENTILE</t>
        </is>
      </c>
      <c r="B6" s="0" t="inlineStr">
        <is>
          <t>0.2</t>
        </is>
      </c>
      <c r="E6" s="0">
        <f>IF(G19="",E18,IF(G19&gt;0,E18+G19,E18))</f>
        <v/>
      </c>
      <c r="G6" s="0">
        <f>IFERROR(VLOOKUP($A19&amp;"_"&amp;$B19,Results_Deltas!$A$2:$P$15000,5,FALSE),"")</f>
        <v/>
      </c>
      <c r="H6" s="0">
        <f>IFERROR(VLOOKUP($A19,Results_30d_Deltas!$A$2:$H$5000,7,FALSE)-E18,"")</f>
        <v/>
      </c>
      <c r="I6" s="0">
        <f>IFERROR(VLOOKUP($A19,Results_30d_Deltas!$A$2:$H$5000,6,FALSE),"")</f>
        <v/>
      </c>
      <c r="L6" s="0" t="inlineStr">
        <is>
          <t>YES</t>
        </is>
      </c>
      <c r="M6" s="0" t="n">
        <v>-3.246613594524634</v>
      </c>
      <c r="IL6" s="0" t="inlineStr">
        <is>
          <t>ez_manage.py:4375 top()</t>
        </is>
      </c>
      <c r="IM6" s="0" t="inlineStr">
        <is>
          <t>v12_quick_engine.py:1285 x7</t>
        </is>
      </c>
    </row>
    <row r="7" ht="10.5" customHeight="1" s="67">
      <c r="A7" s="0" t="inlineStr">
        <is>
          <t>BB_SQUEEZE_ENTRY_ENABLED</t>
        </is>
      </c>
      <c r="B7" s="0" t="inlineStr">
        <is>
          <t>True</t>
        </is>
      </c>
      <c r="E7" s="0">
        <f>IF(G19="",E18,IF(G19&gt;0,E18+G19,E18))</f>
        <v/>
      </c>
      <c r="G7" s="0">
        <f>IFERROR(VLOOKUP($A19&amp;"_"&amp;$B19,Results_Deltas!$A$2:$P$15000,5,FALSE),"")</f>
        <v/>
      </c>
      <c r="H7" s="0">
        <f>IFERROR(VLOOKUP($A19,Results_30d_Deltas!$A$2:$H$5000,7,FALSE)-E18,"")</f>
        <v/>
      </c>
      <c r="I7" s="0">
        <f>IFERROR(VLOOKUP($A19,Results_30d_Deltas!$A$2:$H$5000,6,FALSE),"")</f>
        <v/>
      </c>
      <c r="L7" s="0" t="inlineStr">
        <is>
          <t>YES</t>
        </is>
      </c>
      <c r="M7" s="0" t="n">
        <v>-2.650397136620916</v>
      </c>
      <c r="IL7" s="0" t="inlineStr">
        <is>
          <t>ez_manage.py:4371 top()</t>
        </is>
      </c>
      <c r="IM7" s="0" t="inlineStr">
        <is>
          <t>v12_quick_engine.py:889 x9</t>
        </is>
      </c>
    </row>
    <row r="8" ht="10.5" customHeight="1" s="67">
      <c r="A8" s="0" t="inlineStr">
        <is>
          <t>WT_MOMENTUM_EXIT_THRESHOLD</t>
        </is>
      </c>
      <c r="B8" s="0" t="inlineStr">
        <is>
          <t>1</t>
        </is>
      </c>
      <c r="E8" s="0">
        <f>IF(G21="",E20,IF(G21&gt;0,E20+G21,E20))</f>
        <v/>
      </c>
      <c r="G8" s="0">
        <f>IFERROR(VLOOKUP($A21&amp;"_"&amp;$B21,Results_Deltas!$A$2:$P$15000,5,FALSE),"")</f>
        <v/>
      </c>
      <c r="H8" s="0">
        <f>IFERROR(VLOOKUP($A21,Results_30d_Deltas!$A$2:$H$5000,7,FALSE)-E20,"")</f>
        <v/>
      </c>
      <c r="I8" s="0">
        <f>IFERROR(VLOOKUP($A21,Results_30d_Deltas!$A$2:$H$5000,6,FALSE),"")</f>
        <v/>
      </c>
      <c r="L8" s="0" t="inlineStr">
        <is>
          <t>YES</t>
        </is>
      </c>
      <c r="M8" s="0" t="n">
        <v>-2.159324488871049</v>
      </c>
      <c r="IL8" s="0" t="inlineStr">
        <is>
          <t>ez_manage.py:6087 top()</t>
        </is>
      </c>
      <c r="IM8" s="0" t="inlineStr">
        <is>
          <t>v12_quick_engine.py:4293 x3</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AUDIT_STATUS 2026-09-16 (4 sheets direct)</t>
        </is>
      </c>
    </row>
    <row r="3">
      <c r="A3" s="0" t="inlineStr">
        <is>
          <t>STDEV_SLOPE_SIZING_ENABLED</t>
        </is>
      </c>
      <c r="B3" s="0" t="b">
        <v>0</v>
      </c>
      <c r="D3" s="0" t="inlineStr">
        <is>
          <t>STDEV_LADDER</t>
        </is>
      </c>
      <c r="E3" s="0">
        <f>IF(G4="",E3,IF(G4&gt;0,E3+G4,E3))</f>
        <v/>
      </c>
      <c r="F3" s="0">
        <f>IFERROR(VLOOKUP($A4&amp;"="&amp;$B4,Results_Deltas!$A$2:$P$15000,5,FALSE),"")</f>
        <v/>
      </c>
      <c r="G3" s="0">
        <f>IFERROR(VLOOKUP($A4,Results_30d_Deltas!$A$2:$H$5000,7,FALSE)-E4,"")</f>
        <v/>
      </c>
      <c r="H3" s="0">
        <f>IFERROR(VLOOKUP($A4,Results_30d_Deltas!$A$2:$H$5000,6,FALSE),"")</f>
        <v/>
      </c>
      <c r="L3" s="0" t="inlineStr">
        <is>
          <t>NO</t>
        </is>
      </c>
      <c r="M3" s="0" t="n">
        <v>-6.226950790563168</v>
      </c>
    </row>
    <row r="4">
      <c r="A4" s="0" t="inlineStr">
        <is>
          <t>BAND_SLOPE_SIZING_V2_TF</t>
        </is>
      </c>
      <c r="B4" s="0" t="inlineStr">
        <is>
          <t>4h</t>
        </is>
      </c>
      <c r="D4" s="0" t="inlineStr">
        <is>
          <t>STDEV_LADDER</t>
        </is>
      </c>
      <c r="E4" s="0">
        <f>IF(G5="",E4,IF(G5&gt;0,E4+G5,E4))</f>
        <v/>
      </c>
      <c r="F4" s="0">
        <f>IFERROR(VLOOKUP($A5&amp;"="&amp;$B5,Results_Deltas!$A$2:$P$15000,5,FALSE),"")</f>
        <v/>
      </c>
      <c r="G4" s="0">
        <f>IFERROR(VLOOKUP($A5,Results_30d_Deltas!$A$2:$H$5000,7,FALSE)-E5,"")</f>
        <v/>
      </c>
      <c r="H4" s="0">
        <f>IFERROR(VLOOKUP($A5,Results_30d_Deltas!$A$2:$H$5000,6,FALSE),"")</f>
        <v/>
      </c>
      <c r="L4" s="0" t="inlineStr">
        <is>
          <t>NO</t>
        </is>
      </c>
      <c r="M4" s="0" t="n">
        <v>-5.302095796472655</v>
      </c>
    </row>
    <row r="5">
      <c r="A5" s="0" t="inlineStr">
        <is>
          <t>STDEV_SLOPE_SIZING_MODE</t>
        </is>
      </c>
      <c r="B5" s="0" t="inlineStr">
        <is>
          <t>bottom_to_top</t>
        </is>
      </c>
      <c r="D5" s="0" t="inlineStr">
        <is>
          <t>STDEV_LADDER</t>
        </is>
      </c>
      <c r="E5" s="0">
        <f>IF(G13="",E12,IF(G13&gt;0,E12+G13,E12))</f>
        <v/>
      </c>
      <c r="F5" s="0">
        <f>IFERROR(VLOOKUP($A13&amp;"="&amp;$B13,Results_Deltas!$A$2:$P$15000,5,FALSE),"")</f>
        <v/>
      </c>
      <c r="G5" s="0">
        <f>IFERROR(VLOOKUP($A13,Results_30d_Deltas!$A$2:$H$5000,7,FALSE)-E13,"")</f>
        <v/>
      </c>
      <c r="H5" s="0">
        <f>IFERROR(VLOOKUP($A13,Results_30d_Deltas!$A$2:$H$5000,6,FALSE),"")</f>
        <v/>
      </c>
      <c r="L5" s="0" t="inlineStr">
        <is>
          <t>NO</t>
        </is>
      </c>
      <c r="M5" s="0" t="n">
        <v>-4.003249814326627</v>
      </c>
    </row>
    <row r="6">
      <c r="A6" s="0" t="inlineStr">
        <is>
          <t>BAND_SLOPE_SIZING_V2_TF</t>
        </is>
      </c>
      <c r="B6" s="0" t="inlineStr">
        <is>
          <t>D</t>
        </is>
      </c>
      <c r="D6" s="0" t="inlineStr">
        <is>
          <t>STDEV_LADDER</t>
        </is>
      </c>
      <c r="E6" s="0">
        <f>IF(G17="",E16,IF(G17&gt;0,E16+G17,E16))</f>
        <v/>
      </c>
      <c r="G6" s="0">
        <f>IFERROR(VLOOKUP($A17&amp;"_"&amp;$B17,Results_Deltas!$A$2:$P$15000,5,FALSE),"")</f>
        <v/>
      </c>
      <c r="H6" s="0">
        <f>IFERROR(VLOOKUP($A6,Results_30d_Deltas!$A$2:$H$5000,7,FALSE)-E6,"")</f>
        <v/>
      </c>
      <c r="I6" s="0">
        <f>IFERROR(VLOOKUP($A6,Results_30d_Deltas!$A$2:$H$5000,6,FALSE),"")</f>
        <v/>
      </c>
      <c r="L6" s="0" t="inlineStr">
        <is>
          <t>NO</t>
        </is>
      </c>
      <c r="M6" s="0" t="n">
        <v>-3.2294017255381</v>
      </c>
    </row>
    <row r="7">
      <c r="A7" s="0" t="inlineStr">
        <is>
          <t>STDEV_SLOPE_SIZING_MODE</t>
        </is>
      </c>
      <c r="B7" s="0" t="inlineStr">
        <is>
          <t>slope_to_top</t>
        </is>
      </c>
      <c r="D7" s="0" t="inlineStr">
        <is>
          <t>STDEV_LADDER</t>
        </is>
      </c>
      <c r="E7" s="0">
        <f>IF(G19="",E18,IF(G19&gt;0,E18+G19,E18))</f>
        <v/>
      </c>
      <c r="G7" s="0">
        <f>IFERROR(VLOOKUP($A19&amp;"_"&amp;$B19,Results_Deltas!$A$2:$P$15000,5,FALSE),"")</f>
        <v/>
      </c>
      <c r="H7" s="0">
        <f>IFERROR(VLOOKUP($A4,Results_30d_Deltas!$A$2:$H$5000,7,FALSE)-E4,"")</f>
        <v/>
      </c>
      <c r="L7" s="0" t="inlineStr">
        <is>
          <t>YES</t>
        </is>
      </c>
      <c r="M7" s="0" t="n">
        <v>-2.11604496591277</v>
      </c>
    </row>
    <row r="8">
      <c r="A8" s="0" t="inlineStr">
        <is>
          <t>STDEV_BULL_SLOPE_BOOST_ENABLED</t>
        </is>
      </c>
      <c r="B8" s="0" t="inlineStr">
        <is>
          <t>False</t>
        </is>
      </c>
      <c r="C8" s="0" t="inlineStr">
        <is>
          <t>True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ATR_ADAPTIVE_SIZING_TARGET_PCT</t>
        </is>
      </c>
      <c r="B3" s="0" t="inlineStr">
        <is>
          <t>1.0</t>
        </is>
      </c>
      <c r="G3" s="0">
        <f>IFERROR(VLOOKUP($A21&amp;"_"&amp;$B21,Results_Deltas!$A$2:$P$15000,5,FALSE),"")</f>
        <v/>
      </c>
      <c r="H3" s="0">
        <f>IFERROR(VLOOKUP($A21,Results_30d_Deltas!$A$2:$H$5000,7,FALSE)-E20,"")</f>
        <v/>
      </c>
      <c r="I3" s="0">
        <f>IFERROR(VLOOKUP($A21,Results_30d_Deltas!$A$2:$H$5000,6,FALSE),"")</f>
        <v/>
      </c>
      <c r="L3" s="0" t="inlineStr">
        <is>
          <t>NO</t>
        </is>
      </c>
      <c r="M3" s="0" t="n">
        <v>-5.226550689935686</v>
      </c>
      <c r="IK3" s="0" t="inlineStr">
        <is>
          <t>ez_manage.py:4327 top()</t>
        </is>
      </c>
      <c r="IL3" s="0" t="inlineStr">
        <is>
          <t>v12_quick_engine.py:1209 x7</t>
        </is>
      </c>
    </row>
    <row r="4" ht="10.5" customHeight="1" s="67">
      <c r="A4" s="0" t="inlineStr">
        <is>
          <t>ATR_ADAPTIVE_SIZING_TARGET_PCT</t>
        </is>
      </c>
      <c r="B4" s="0" t="inlineStr">
        <is>
          <t>2.5</t>
        </is>
      </c>
      <c r="G4" s="0">
        <f>IFERROR(VLOOKUP($A27&amp;"_"&amp;$B27,Results_Deltas!$A$2:$P$15000,5,FALSE),"")</f>
        <v/>
      </c>
      <c r="H4" s="0">
        <f>IFERROR(VLOOKUP($A27,Results_30d_Deltas!$A$2:$H$5000,7,FALSE)-E26,"")</f>
        <v/>
      </c>
      <c r="I4" s="0">
        <f>IFERROR(VLOOKUP($A27,Results_30d_Deltas!$A$2:$H$5000,6,FALSE),"")</f>
        <v/>
      </c>
      <c r="L4" s="0" t="inlineStr">
        <is>
          <t>NO</t>
        </is>
      </c>
      <c r="M4" s="0" t="n">
        <v>-5.097886563060814</v>
      </c>
      <c r="IK4" s="0" t="inlineStr">
        <is>
          <t>ez_manage.py:4327 top()</t>
        </is>
      </c>
      <c r="IL4" s="0" t="inlineStr">
        <is>
          <t>v12_quick_engine.py:1209 x7</t>
        </is>
      </c>
    </row>
    <row r="5" ht="10.5" customHeight="1" s="67">
      <c r="A5" s="0" t="inlineStr">
        <is>
          <t>REVERSE_ON_EXIT_ENABLED</t>
        </is>
      </c>
      <c r="B5" s="0" t="inlineStr">
        <is>
          <t>True</t>
        </is>
      </c>
      <c r="G5" s="0">
        <f>IFERROR(VLOOKUP($A74&amp;"_"&amp;$B74,Results_Deltas!$A$2:$P$15000,5,FALSE),"")</f>
        <v/>
      </c>
      <c r="H5" s="0">
        <f>IFERROR(VLOOKUP($A74,Results_30d_Deltas!$A$2:$H$5000,7,FALSE)-E73,"")</f>
        <v/>
      </c>
      <c r="I5" s="0">
        <f>IFERROR(VLOOKUP($A74,Results_30d_Deltas!$A$2:$H$5000,6,FALSE),"")</f>
        <v/>
      </c>
      <c r="L5" s="0" t="inlineStr">
        <is>
          <t>NO</t>
        </is>
      </c>
      <c r="M5" s="0" t="n">
        <v>-3.962793853826305</v>
      </c>
      <c r="IK5" s="0" t="inlineStr">
        <is>
          <t>ez_manage.py:1219 top()</t>
        </is>
      </c>
      <c r="IL5" s="0" t="inlineStr">
        <is>
          <t>v12_quick_engine.py:1420 x3</t>
        </is>
      </c>
    </row>
    <row r="6" ht="10.5" customHeight="1" s="67">
      <c r="A6" s="0" t="inlineStr">
        <is>
          <t>DC_BREAKOUT_TF</t>
        </is>
      </c>
      <c r="B6" s="0" t="inlineStr">
        <is>
          <t>OFF</t>
        </is>
      </c>
      <c r="G6" s="0">
        <f>IFERROR(VLOOKUP($A77&amp;"="&amp;$B77,Results_Deltas!$A$2:$P$15000,5,FALSE),"")</f>
        <v/>
      </c>
      <c r="H6" s="0">
        <f>IFERROR(VLOOKUP($A77,Results_30d_Deltas!$A$2:$H$5000,7,FALSE)-E77,"")</f>
        <v/>
      </c>
      <c r="I6" s="0">
        <f>IFERROR(VLOOKUP($A77,Results_30d_Deltas!$A$2:$H$5000,6,FALSE),"")</f>
        <v/>
      </c>
      <c r="L6" s="0" t="inlineStr">
        <is>
          <t>NO</t>
        </is>
      </c>
      <c r="M6" s="0" t="n">
        <v>-3.78214323656721</v>
      </c>
      <c r="IK6" s="0" t="inlineStr">
        <is>
          <t>ez_manage.py:3078 top()</t>
        </is>
      </c>
      <c r="IL6" s="0" t="inlineStr">
        <is>
          <t>v12_quick_engine.py:1518 x5</t>
        </is>
      </c>
    </row>
    <row r="7" ht="10.5" customHeight="1" s="67">
      <c r="A7" s="0" t="inlineStr">
        <is>
          <t>V8_ENTRY_ENGINE_WT_ENABLED</t>
        </is>
      </c>
      <c r="B7" s="0" t="inlineStr">
        <is>
          <t>False</t>
        </is>
      </c>
      <c r="G7" s="0">
        <f>IFERROR(VLOOKUP($A124&amp;"_"&amp;$B124,Results_Deltas!$A$2:$P$15000,5,FALSE),"")</f>
        <v/>
      </c>
      <c r="H7" s="0">
        <f>IFERROR(VLOOKUP($A124,Results_30d_Deltas!$A$2:$H$5000,7,FALSE)-E123,"")</f>
        <v/>
      </c>
      <c r="I7" s="0">
        <f>IFERROR(VLOOKUP($A124,Results_30d_Deltas!$A$2:$H$5000,6,FALSE),"")</f>
        <v/>
      </c>
      <c r="L7" s="0" t="inlineStr">
        <is>
          <t>NO</t>
        </is>
      </c>
      <c r="M7" s="0" t="n">
        <v>-3.771222959968467</v>
      </c>
      <c r="IK7" s="0" t="inlineStr">
        <is>
          <t>ez_manage.py:6074 top()</t>
        </is>
      </c>
      <c r="IL7" s="0" t="inlineStr">
        <is>
          <t>v12_quick_engine.py:4286 x4</t>
        </is>
      </c>
    </row>
    <row r="8" ht="10.5" customHeight="1" s="67">
      <c r="A8" s="0" t="inlineStr">
        <is>
          <t>ENTRY_SCORE_THRESHOLD</t>
        </is>
      </c>
      <c r="B8" s="0" t="inlineStr">
        <is>
          <t>9.0</t>
        </is>
      </c>
      <c r="G8" s="0">
        <f>IFERROR(VLOOKUP($A98&amp;"_"&amp;$B98,Results_Deltas!$A$2:$P$15000,5,FALSE),"")</f>
        <v/>
      </c>
      <c r="H8" s="0">
        <f>IFERROR(VLOOKUP($A98,Results_30d_Deltas!$A$2:$H$5000,7,FALSE)-E97,"")</f>
        <v/>
      </c>
      <c r="I8" s="0">
        <f>IFERROR(VLOOKUP($A98,Results_30d_Deltas!$A$2:$H$5000,6,FALSE),"")</f>
        <v/>
      </c>
      <c r="L8" s="0" t="inlineStr">
        <is>
          <t>NO</t>
        </is>
      </c>
      <c r="M8" s="0" t="n">
        <v>-3.647433351073238</v>
      </c>
      <c r="IK8" s="0" t="inlineStr">
        <is>
          <t>ez_manage.py:4644 top()</t>
        </is>
      </c>
      <c r="IL8" s="0" t="inlineStr">
        <is>
          <t>v12_quick_engine.py:3394 x9</t>
        </is>
      </c>
    </row>
    <row r="9" ht="10.5" customHeight="1" s="67">
      <c r="A9" s="0" t="inlineStr">
        <is>
          <t>DC_BREAKOUT_TF</t>
        </is>
      </c>
      <c r="B9" s="0" t="inlineStr">
        <is>
          <t>15m</t>
        </is>
      </c>
      <c r="G9" s="0">
        <f>IFERROR(VLOOKUP($A155&amp;"_"&amp;$B155,Results_Deltas!$A$2:$P$15000,5,FALSE),"")</f>
        <v/>
      </c>
      <c r="H9" s="0">
        <f>IFERROR(VLOOKUP($A155,Results_30d_Deltas!$A$2:$H$5000,7,FALSE)-E154,"")</f>
        <v/>
      </c>
      <c r="I9" s="0">
        <f>IFERROR(VLOOKUP($A155,Results_30d_Deltas!$A$2:$H$5000,6,FALSE),"")</f>
        <v/>
      </c>
      <c r="L9" s="0" t="inlineStr">
        <is>
          <t>NO</t>
        </is>
      </c>
      <c r="M9" s="0" t="n">
        <v>-1.144552193698301</v>
      </c>
      <c r="IK9" s="0" t="inlineStr">
        <is>
          <t>ez_manage.py:3078 top()</t>
        </is>
      </c>
      <c r="IL9" s="0" t="inlineStr">
        <is>
          <t>v12_quick_engine.py:1518 x5</t>
        </is>
      </c>
    </row>
    <row r="10" ht="10.5" customHeight="1" s="67">
      <c r="A10" s="0" t="inlineStr">
        <is>
          <t>REVERSE_ON_EXIT_ENABLED</t>
        </is>
      </c>
      <c r="B10" s="0" t="inlineStr">
        <is>
          <t>False</t>
        </is>
      </c>
      <c r="G10" s="0">
        <f>IFERROR(VLOOKUP($A175&amp;"_"&amp;$B175,Results_Deltas!$A$2:$P$15000,5,FALSE),"")</f>
        <v/>
      </c>
      <c r="H10" s="0">
        <f>IFERROR(VLOOKUP($A175,Results_30d_Deltas!$A$2:$H$5000,7,FALSE)-E174,"")</f>
        <v/>
      </c>
      <c r="I10" s="0">
        <f>IFERROR(VLOOKUP($A175,Results_30d_Deltas!$A$2:$H$5000,6,FALSE),"")</f>
        <v/>
      </c>
      <c r="L10" s="0" t="inlineStr">
        <is>
          <t>YES</t>
        </is>
      </c>
      <c r="M10" s="0" t="n">
        <v>-0.3949269625441762</v>
      </c>
      <c r="IK10" s="0" t="inlineStr">
        <is>
          <t>ez_manage.py:1219 top()</t>
        </is>
      </c>
      <c r="IL10" s="0" t="inlineStr">
        <is>
          <t>v12_quick_engine.py:1420 x3</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DC_BREAK_WAIT_WT15_CLOSE_ENABLED</t>
        </is>
      </c>
      <c r="B3" s="0" t="inlineStr">
        <is>
          <t>False</t>
        </is>
      </c>
      <c r="D3" s="0" t="inlineStr">
        <is>
          <t>DC_WAIT</t>
        </is>
      </c>
      <c r="E3" s="0">
        <f>IF(G184="",E183,IF(G184&gt;0,E183+G184,E183))</f>
        <v/>
      </c>
      <c r="F3" s="0">
        <f>IFERROR(VLOOKUP($A184&amp;"_"&amp;$B184,Results_Deltas!$A$2:$P$15000,5,FALSE),"")</f>
        <v/>
      </c>
      <c r="G3"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7"/>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BB_SQUEEZE_EXIT_ENABLED</t>
        </is>
      </c>
      <c r="B3" s="0" t="inlineStr">
        <is>
          <t>True</t>
        </is>
      </c>
      <c r="G3" s="0">
        <f>IFERROR(VLOOKUP($A6&amp;"_"&amp;$B6,Results_Deltas!$A$2:$P$15000,5,FALSE),"")</f>
        <v/>
      </c>
      <c r="H3" s="0">
        <f>IFERROR(VLOOKUP($A6,Results_30d_Deltas!$A$2:$H$5000,7,FALSE)-E5,"")</f>
        <v/>
      </c>
      <c r="I3" s="0">
        <f>IFERROR(VLOOKUP($A6,Results_30d_Deltas!$A$2:$H$5000,6,FALSE),"")</f>
        <v/>
      </c>
      <c r="L3" s="0" t="inlineStr">
        <is>
          <t>NO</t>
        </is>
      </c>
      <c r="IK3" s="0" t="inlineStr">
        <is>
          <t>ez_manage.py:6163 top()</t>
        </is>
      </c>
      <c r="IL3" s="0" t="inlineStr">
        <is>
          <t>v12_quick_engine.py:891 x4</t>
        </is>
      </c>
    </row>
    <row r="4">
      <c r="A4" s="0" t="inlineStr">
        <is>
          <t>E_1_WT_EXIT_USE_DELTA_ENABLED</t>
        </is>
      </c>
      <c r="B4" s="0" t="inlineStr">
        <is>
          <t>True</t>
        </is>
      </c>
      <c r="G4" s="0">
        <f>IFERROR(VLOOKUP($A14&amp;"_"&amp;$B14,Results_Deltas!$A$2:$P$15000,5,FALSE),"")</f>
        <v/>
      </c>
      <c r="H4" s="0">
        <f>IFERROR(VLOOKUP($A14,Results_30d_Deltas!$A$2:$H$5000,7,FALSE)-E13,"")</f>
        <v/>
      </c>
      <c r="I4" s="0">
        <f>IFERROR(VLOOKUP($A14,Results_30d_Deltas!$A$2:$H$5000,6,FALSE),"")</f>
        <v/>
      </c>
      <c r="L4" s="0" t="inlineStr">
        <is>
          <t>NO</t>
        </is>
      </c>
      <c r="IK4" s="0" t="inlineStr">
        <is>
          <t>ez_manage.py:4699 top()</t>
        </is>
      </c>
      <c r="IL4" s="0" t="inlineStr">
        <is>
          <t>v12_quick_engine.py:1818 x7</t>
        </is>
      </c>
    </row>
    <row r="5">
      <c r="A5" s="0" t="inlineStr">
        <is>
          <t>RULE_B_3M_EXIT_ENABLED</t>
        </is>
      </c>
      <c r="B5" s="0" t="inlineStr">
        <is>
          <t>True</t>
        </is>
      </c>
      <c r="G5" s="0">
        <f>IFERROR(VLOOKUP($A39&amp;"_"&amp;$B39,Results_Deltas!$A$2:$P$15000,5,FALSE),"")</f>
        <v/>
      </c>
      <c r="H5" s="0">
        <f>IFERROR(VLOOKUP($A39,Results_30d_Deltas!$A$2:$H$5000,7,FALSE)-E38,"")</f>
        <v/>
      </c>
      <c r="I5" s="0">
        <f>IFERROR(VLOOKUP($A39,Results_30d_Deltas!$A$2:$H$5000,6,FALSE),"")</f>
        <v/>
      </c>
      <c r="L5" s="0" t="inlineStr">
        <is>
          <t>NO</t>
        </is>
      </c>
      <c r="IK5" s="0" t="inlineStr">
        <is>
          <t>ez_manage.py:5395 top()</t>
        </is>
      </c>
      <c r="IL5" s="0" t="inlineStr">
        <is>
          <t>v12_quick_engine.py:3009 x4</t>
        </is>
      </c>
    </row>
    <row r="6">
      <c r="A6" s="0" t="inlineStr">
        <is>
          <t>SCALP_V3_PROTECTIVE_EXIT_ENABLED</t>
        </is>
      </c>
      <c r="B6" s="0" t="inlineStr">
        <is>
          <t>True</t>
        </is>
      </c>
      <c r="G6" s="0">
        <f>IFERROR(VLOOKUP($A43&amp;"_"&amp;$B43,Results_Deltas!$A$2:$P$15000,5,FALSE),"")</f>
        <v/>
      </c>
      <c r="H6" s="0">
        <f>IFERROR(VLOOKUP($A43,Results_30d_Deltas!$A$2:$H$5000,7,FALSE)-E42,"")</f>
        <v/>
      </c>
      <c r="I6" s="0">
        <f>IFERROR(VLOOKUP($A43,Results_30d_Deltas!$A$2:$H$5000,6,FALSE),"")</f>
        <v/>
      </c>
      <c r="L6" s="0" t="inlineStr">
        <is>
          <t>NO</t>
        </is>
      </c>
      <c r="IK6" s="0" t="inlineStr">
        <is>
          <t>ez_manage.py:5586 top()</t>
        </is>
      </c>
      <c r="IL6" s="0" t="inlineStr">
        <is>
          <t>v12_quick_engine.py:3192 x4</t>
        </is>
      </c>
    </row>
    <row r="7">
      <c r="A7" s="0" t="inlineStr">
        <is>
          <t>STDEV_REJECT_EXIT_TF</t>
        </is>
      </c>
      <c r="B7" s="0" t="inlineStr">
        <is>
          <t>D</t>
        </is>
      </c>
      <c r="G7" s="0">
        <f>IFERROR(VLOOKUP($A45&amp;"_"&amp;$B45,Results_Deltas!$A$2:$P$15000,5,FALSE),"")</f>
        <v/>
      </c>
      <c r="H7" s="0">
        <f>IFERROR(VLOOKUP($A45,Results_30d_Deltas!$A$2:$H$5000,7,FALSE)-E44,"")</f>
        <v/>
      </c>
      <c r="I7" s="0">
        <f>IFERROR(VLOOKUP($A45,Results_30d_Deltas!$A$2:$H$5000,6,FALSE),"")</f>
        <v/>
      </c>
      <c r="L7" s="0" t="inlineStr">
        <is>
          <t>NO</t>
        </is>
      </c>
      <c r="IK7" s="0" t="inlineStr">
        <is>
          <t>ez_manage.py:4058 top()</t>
        </is>
      </c>
      <c r="IL7" s="0" t="inlineStr">
        <is>
          <t>v12_quick_engine.py:3298 x3</t>
        </is>
      </c>
    </row>
    <row r="8">
      <c r="A8" s="0" t="inlineStr">
        <is>
          <t>STDEV_REJECT_EXIT_TF</t>
        </is>
      </c>
      <c r="B8" s="0" t="inlineStr">
        <is>
          <t>1h</t>
        </is>
      </c>
      <c r="G8" s="0">
        <f>IFERROR(VLOOKUP($A47&amp;"_"&amp;$B47,Results_Deltas!$A$2:$P$15000,5,FALSE),"")</f>
        <v/>
      </c>
      <c r="H8" s="0">
        <f>IFERROR(VLOOKUP($A47,Results_30d_Deltas!$A$2:$H$5000,7,FALSE)-E46,"")</f>
        <v/>
      </c>
      <c r="I8" s="0">
        <f>IFERROR(VLOOKUP($A47,Results_30d_Deltas!$A$2:$H$5000,6,FALSE),"")</f>
        <v/>
      </c>
      <c r="L8" s="0" t="inlineStr">
        <is>
          <t>NO</t>
        </is>
      </c>
      <c r="IK8" s="0" t="inlineStr">
        <is>
          <t>ez_manage.py:4058 top()</t>
        </is>
      </c>
      <c r="IL8" s="0" t="inlineStr">
        <is>
          <t>v12_quick_engine.py:3298 x3</t>
        </is>
      </c>
    </row>
    <row r="9">
      <c r="A9" s="0" t="inlineStr">
        <is>
          <t>WT_4H_VEL_EXIT_ENABLED</t>
        </is>
      </c>
      <c r="B9" s="0" t="inlineStr">
        <is>
          <t>True</t>
        </is>
      </c>
      <c r="G9" s="0">
        <f>IFERROR(VLOOKUP($A54&amp;"_"&amp;$B54,Results_Deltas!$A$2:$P$15000,5,FALSE),"")</f>
        <v/>
      </c>
      <c r="H9" s="0">
        <f>IFERROR(VLOOKUP($A54,Results_30d_Deltas!$A$2:$H$5000,7,FALSE)-E53,"")</f>
        <v/>
      </c>
      <c r="I9" s="0">
        <f>IFERROR(VLOOKUP($A54,Results_30d_Deltas!$A$2:$H$5000,6,FALSE),"")</f>
        <v/>
      </c>
      <c r="L9" s="0" t="inlineStr">
        <is>
          <t>NO</t>
        </is>
      </c>
      <c r="IK9" s="0" t="inlineStr">
        <is>
          <t>ez_manage.py:5876 top()</t>
        </is>
      </c>
      <c r="IL9" s="0" t="inlineStr">
        <is>
          <t>v12_quick_engine.py:3695 x5</t>
        </is>
      </c>
    </row>
    <row r="10">
      <c r="A10" s="0" t="inlineStr">
        <is>
          <t>WT_4H_VEL_EXIT_K_EXTREME_HIGH</t>
        </is>
      </c>
      <c r="B10" s="0" t="inlineStr">
        <is>
          <t>1.0</t>
        </is>
      </c>
      <c r="G10" s="0">
        <f>IFERROR(VLOOKUP($A57&amp;"_"&amp;$B57,Results_Deltas!$A$2:$P$15000,5,FALSE),"")</f>
        <v/>
      </c>
      <c r="H10" s="0">
        <f>IFERROR(VLOOKUP($A57,Results_30d_Deltas!$A$2:$H$5000,7,FALSE)-E56,"")</f>
        <v/>
      </c>
      <c r="I10" s="0">
        <f>IFERROR(VLOOKUP($A57,Results_30d_Deltas!$A$2:$H$5000,6,FALSE),"")</f>
        <v/>
      </c>
      <c r="L10" s="0" t="inlineStr">
        <is>
          <t>NO</t>
        </is>
      </c>
      <c r="IK10" s="0" t="inlineStr">
        <is>
          <t>ez_manage.py:5877 top()</t>
        </is>
      </c>
      <c r="IL10" s="0" t="inlineStr">
        <is>
          <t>v12_quick_engine.py:3696 x5</t>
        </is>
      </c>
    </row>
    <row r="11">
      <c r="A11" s="0" t="inlineStr">
        <is>
          <t>WT_4H_VEL_EXIT_K_EXTREME_LOW</t>
        </is>
      </c>
      <c r="B11" s="0" t="inlineStr">
        <is>
          <t>2.0</t>
        </is>
      </c>
      <c r="G11" s="0">
        <f>IFERROR(VLOOKUP($A62&amp;"_"&amp;$B62,Results_Deltas!$A$2:$P$15000,5,FALSE),"")</f>
        <v/>
      </c>
      <c r="H11" s="0">
        <f>IFERROR(VLOOKUP($A62,Results_30d_Deltas!$A$2:$H$5000,7,FALSE)-E61,"")</f>
        <v/>
      </c>
      <c r="I11" s="0">
        <f>IFERROR(VLOOKUP($A62,Results_30d_Deltas!$A$2:$H$5000,6,FALSE),"")</f>
        <v/>
      </c>
      <c r="L11" s="0" t="inlineStr">
        <is>
          <t>NO</t>
        </is>
      </c>
      <c r="IK11" s="0" t="inlineStr">
        <is>
          <t>ez_manage.py:5878 top()</t>
        </is>
      </c>
      <c r="IL11" s="0" t="inlineStr">
        <is>
          <t>v12_quick_engine.py:3697 x5</t>
        </is>
      </c>
    </row>
    <row r="12">
      <c r="A12" s="0" t="inlineStr">
        <is>
          <t>WT_4H_VEL_EXIT_REQUIRE_PROFIT</t>
        </is>
      </c>
      <c r="B12" s="0" t="inlineStr">
        <is>
          <t>1.0</t>
        </is>
      </c>
      <c r="G12" s="0">
        <f>IFERROR(VLOOKUP($A69&amp;"_"&amp;$B69,Results_Deltas!$A$2:$P$15000,5,FALSE),"")</f>
        <v/>
      </c>
      <c r="H12" s="0">
        <f>IFERROR(VLOOKUP($A69,Results_30d_Deltas!$A$2:$H$5000,7,FALSE)-E68,"")</f>
        <v/>
      </c>
      <c r="I12" s="0">
        <f>IFERROR(VLOOKUP($A69,Results_30d_Deltas!$A$2:$H$5000,6,FALSE),"")</f>
        <v/>
      </c>
      <c r="L12" s="0" t="inlineStr">
        <is>
          <t>NO</t>
        </is>
      </c>
      <c r="IK12" s="0" t="inlineStr">
        <is>
          <t>ez_manage.py:5881 top()</t>
        </is>
      </c>
      <c r="IL12" s="0" t="inlineStr">
        <is>
          <t>v12_quick_engine.py:3700 x5</t>
        </is>
      </c>
    </row>
    <row r="13">
      <c r="A13" s="0" t="inlineStr">
        <is>
          <t>WT_15M_LH_WAIT_EXIT_ENABLED</t>
        </is>
      </c>
      <c r="B13" s="0" t="inlineStr">
        <is>
          <t>False</t>
        </is>
      </c>
      <c r="D13" s="0" t="inlineStr">
        <is>
          <t>WT_WAIT</t>
        </is>
      </c>
      <c r="E13" s="0">
        <f>IF(G259="",E258,IF(G259&gt;0,E258+G259,E258))</f>
        <v/>
      </c>
      <c r="F13" s="0">
        <f>IFERROR(VLOOKUP($A259&amp;"_"&amp;$B259,Results_Deltas!$A$2:$P$15000,5,FALSE),"")</f>
        <v/>
      </c>
      <c r="G13" s="0">
        <f>IFERROR(VLOOKUP($A259&amp;"_"&amp;$B259,Results_Deltas!$A$2:$P$15000,5,FALSE),"")</f>
        <v/>
      </c>
    </row>
    <row r="14">
      <c r="A14" s="0" t="inlineStr">
        <is>
          <t>WT_DIVERGENCE_VV_SHORT_EXIT_ENABLED</t>
        </is>
      </c>
      <c r="B14" s="0" t="inlineStr">
        <is>
          <t>False</t>
        </is>
      </c>
      <c r="D14" s="0" t="inlineStr">
        <is>
          <t>WT_WAIT</t>
        </is>
      </c>
      <c r="E14" s="0">
        <f>IF(G260="",E259,IF(G260&gt;0,E259+G260,E259))</f>
        <v/>
      </c>
      <c r="F14" s="0">
        <f>IFERROR(VLOOKUP($A260&amp;"_"&amp;$B260,Results_Deltas!$A$2:$P$15000,5,FALSE),"")</f>
        <v/>
      </c>
      <c r="G14" s="0">
        <f>IFERROR(VLOOKUP($A260&amp;"_"&amp;$B260,Results_Deltas!$A$2:$P$15000,5,FALSE),"")</f>
        <v/>
      </c>
    </row>
    <row r="15">
      <c r="A15" s="0" t="inlineStr">
        <is>
          <t>EXIT_BLOCKER_REQUIRE_LH_LL_ENABLED</t>
        </is>
      </c>
      <c r="B15" s="0" t="inlineStr">
        <is>
          <t>False</t>
        </is>
      </c>
      <c r="D15" s="0" t="inlineStr">
        <is>
          <t>EXIT_BLOCKER</t>
        </is>
      </c>
      <c r="E15" s="0">
        <f>IF(G261="",E260,IF(G261&gt;0,E260+G261,E260))</f>
        <v/>
      </c>
      <c r="F15" s="0">
        <f>IFERROR(VLOOKUP($A261&amp;"_"&amp;$B261,Results_Deltas!$A$2:$P$15000,5,FALSE),"")</f>
        <v/>
      </c>
      <c r="G15" s="0">
        <f>IFERROR(VLOOKUP($A261&amp;"_"&amp;$B261,Results_Deltas!$A$2:$P$15000,5,FALSE),"")</f>
        <v/>
      </c>
    </row>
    <row r="16">
      <c r="A16" s="0" t="inlineStr">
        <is>
          <t>BULL_HOLD_EXIT_DELAY_BARS</t>
        </is>
      </c>
      <c r="B16" s="0" t="inlineStr">
        <is>
          <t>0</t>
        </is>
      </c>
      <c r="C16" s="0" t="inlineStr">
        <is>
          <t>24</t>
        </is>
      </c>
    </row>
    <row r="17">
      <c r="A17" s="0" t="inlineStr">
        <is>
          <t>BULL_HOLD_EXIT_DELAY_BARS</t>
        </is>
      </c>
      <c r="B17" s="0" t="inlineStr">
        <is>
          <t>0</t>
        </is>
      </c>
      <c r="C17" s="0"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CHANNEL_REENTRY_STOP_ENABLED</t>
        </is>
      </c>
      <c r="B3" s="0" t="inlineStr">
        <is>
          <t>True</t>
        </is>
      </c>
      <c r="G3" s="0">
        <f>IFERROR(VLOOKUP($A22&amp;"_"&amp;$B22,Results_Deltas!$A$2:$P$15000,5,FALSE),"")</f>
        <v/>
      </c>
      <c r="H3" s="0">
        <f>IFERROR(VLOOKUP($A22,Results_30d_Deltas!$A$2:$H$5000,7,FALSE)-E21,"")</f>
        <v/>
      </c>
      <c r="I3" s="0">
        <f>IFERROR(VLOOKUP($A22,Results_30d_Deltas!$A$2:$H$5000,6,FALSE),"")</f>
        <v/>
      </c>
      <c r="L3" s="0" t="inlineStr">
        <is>
          <t>NO</t>
        </is>
      </c>
      <c r="M3" s="0" t="n">
        <v>-2.093686938119209</v>
      </c>
      <c r="IL3" s="0" t="inlineStr">
        <is>
          <t>ez_manage.py:5968 top()</t>
        </is>
      </c>
      <c r="IM3" s="0" t="inlineStr">
        <is>
          <t>v12_quick_engine.py:482 x8</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BOUNCE_AUGMENT_MIN_LOSS_PCT</t>
        </is>
      </c>
      <c r="B3" s="0" t="inlineStr">
        <is>
          <t>-0.625</t>
        </is>
      </c>
      <c r="G3" s="0">
        <f>IFERROR(VLOOKUP($A20&amp;"_"&amp;$B20,Results_Deltas!$A$2:$P$15000,5,FALSE),"")</f>
        <v/>
      </c>
      <c r="H3" s="0">
        <f>IFERROR(VLOOKUP($A20,Results_30d_Deltas!$A$2:$H$5000,7,FALSE)-E19,"")</f>
        <v/>
      </c>
      <c r="I3" s="0">
        <f>IFERROR(VLOOKUP($A20,Results_30d_Deltas!$A$2:$H$5000,6,FALSE),"")</f>
        <v/>
      </c>
      <c r="L3" s="0" t="inlineStr">
        <is>
          <t>NO</t>
        </is>
      </c>
      <c r="M3" s="0" t="n">
        <v>-2.060599099951949</v>
      </c>
      <c r="IK3" s="0" t="inlineStr">
        <is>
          <t>ez_manage.py:4390 top()</t>
        </is>
      </c>
      <c r="IL3" s="0" t="inlineStr">
        <is>
          <t>v12_quick_engine.py:1310 x9</t>
        </is>
      </c>
    </row>
    <row r="4" ht="10.5" customHeight="1" s="67">
      <c r="A4" s="0" t="inlineStr">
        <is>
          <t>AUGMENT_MIN_GAIN_PCT</t>
        </is>
      </c>
      <c r="B4" s="0" t="inlineStr">
        <is>
          <t>0.5</t>
        </is>
      </c>
      <c r="G4" s="0">
        <f>IFERROR(VLOOKUP($A24&amp;"_"&amp;$B24,Results_Deltas!$A$2:$P$15000,5,FALSE),"")</f>
        <v/>
      </c>
      <c r="H4" s="0">
        <f>IFERROR(VLOOKUP($A24,Results_30d_Deltas!$A$2:$H$5000,7,FALSE)-E23,"")</f>
        <v/>
      </c>
      <c r="I4" s="0">
        <f>IFERROR(VLOOKUP($A24,Results_30d_Deltas!$A$2:$H$5000,6,FALSE),"")</f>
        <v/>
      </c>
      <c r="L4" s="0" t="inlineStr">
        <is>
          <t>NO</t>
        </is>
      </c>
      <c r="M4" s="0" t="n">
        <v>-0.8687196370388788</v>
      </c>
      <c r="IK4" s="0" t="inlineStr">
        <is>
          <t>ez_manage.py:30417 top()</t>
        </is>
      </c>
      <c r="IL4" s="0" t="inlineStr">
        <is>
          <t>v12_quick_engine.py:4874 x5</t>
        </is>
      </c>
    </row>
    <row r="5" ht="10.5" customHeight="1" s="67">
      <c r="A5" s="0" t="inlineStr">
        <is>
          <t>AUGMENT_BOUNCE_MIN_GAIN_PCT</t>
        </is>
      </c>
      <c r="B5" s="0" t="inlineStr">
        <is>
          <t>0.5</t>
        </is>
      </c>
      <c r="G5" s="0">
        <f>IFERROR(VLOOKUP($A25&amp;"_"&amp;$B25,Results_Deltas!$A$2:$P$15000,5,FALSE),"")</f>
        <v/>
      </c>
      <c r="H5" s="0">
        <f>IFERROR(VLOOKUP($A25,Results_30d_Deltas!$A$2:$H$5000,7,FALSE)-E24,"")</f>
        <v/>
      </c>
      <c r="I5" s="0">
        <f>IFERROR(VLOOKUP($A25,Results_30d_Deltas!$A$2:$H$5000,6,FALSE),"")</f>
        <v/>
      </c>
      <c r="L5" s="0" t="inlineStr">
        <is>
          <t>YES</t>
        </is>
      </c>
      <c r="M5" s="0" t="n">
        <v>-0.86784638372116</v>
      </c>
      <c r="IK5" s="0" t="inlineStr">
        <is>
          <t>ez_manage.py:56856 top()</t>
        </is>
      </c>
      <c r="IL5" s="0" t="inlineStr">
        <is>
          <t>v12_quick_engine.py:4872 x2</t>
        </is>
      </c>
    </row>
    <row r="6" ht="10.5" customHeight="1" s="67">
      <c r="A6" s="0" t="inlineStr">
        <is>
          <t>AUGMENT_BULL_KILL_ENABLED</t>
        </is>
      </c>
      <c r="B6" s="0" t="inlineStr">
        <is>
          <t>False</t>
        </is>
      </c>
      <c r="C6" s="0" t="inlineStr">
        <is>
          <t>True</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MAX_AUGMENTS_PER_POSITION</t>
        </is>
      </c>
      <c r="B3" s="0" t="inlineStr">
        <is>
          <t>5</t>
        </is>
      </c>
      <c r="G3" s="0">
        <f>IFERROR(VLOOKUP($A13&amp;"_"&amp;$B13,Results_Deltas!$A$2:$P$15000,5,FALSE),"")</f>
        <v/>
      </c>
      <c r="H3" s="0">
        <f>IFERROR(VLOOKUP($A13,Results_30d_Deltas!$A$2:$H$5000,7,FALSE)-E12,"")</f>
        <v/>
      </c>
      <c r="I3" s="0">
        <f>IFERROR(VLOOKUP($A13,Results_30d_Deltas!$A$2:$H$5000,6,FALSE),"")</f>
        <v/>
      </c>
      <c r="L3" s="0" t="inlineStr">
        <is>
          <t>NO</t>
        </is>
      </c>
      <c r="M3" s="0" t="n">
        <v>-2.727188947662457</v>
      </c>
      <c r="IK3" s="0" t="inlineStr">
        <is>
          <t>ez_manage.py:3521 top()</t>
        </is>
      </c>
      <c r="IL3" s="0" t="inlineStr">
        <is>
          <t>v12_quick_engine.py:2267 x7</t>
        </is>
      </c>
    </row>
    <row r="4" ht="10.5" customHeight="1" s="67">
      <c r="A4" s="0" t="inlineStr">
        <is>
          <t>MAX_AUGMENTS_PER_POSITION</t>
        </is>
      </c>
      <c r="B4" s="0" t="inlineStr">
        <is>
          <t>2</t>
        </is>
      </c>
      <c r="G4" s="0">
        <f>IFERROR(VLOOKUP($A14&amp;"_"&amp;$B14,Results_Deltas!$A$2:$P$15000,5,FALSE),"")</f>
        <v/>
      </c>
      <c r="H4" s="0">
        <f>IFERROR(VLOOKUP($A14,Results_30d_Deltas!$A$2:$H$5000,7,FALSE)-E13,"")</f>
        <v/>
      </c>
      <c r="I4" s="0">
        <f>IFERROR(VLOOKUP($A14,Results_30d_Deltas!$A$2:$H$5000,6,FALSE),"")</f>
        <v/>
      </c>
      <c r="L4" s="0" t="inlineStr">
        <is>
          <t>NO</t>
        </is>
      </c>
      <c r="M4" s="0" t="n">
        <v>-2.664335480041505</v>
      </c>
      <c r="IK4" s="0" t="inlineStr">
        <is>
          <t>ez_manage.py:3521 top()</t>
        </is>
      </c>
      <c r="IL4" s="0" t="inlineStr">
        <is>
          <t>v12_quick_engine.py:2267 x7</t>
        </is>
      </c>
    </row>
    <row r="5" ht="10.5" customHeight="1" s="67">
      <c r="A5" s="0" t="inlineStr">
        <is>
          <t>MAX_AUGMENTS_PER_POSITION</t>
        </is>
      </c>
      <c r="B5" s="0" t="inlineStr">
        <is>
          <t>1</t>
        </is>
      </c>
      <c r="G5" s="0">
        <f>IFERROR(VLOOKUP($A20&amp;"_"&amp;$B20,Results_Deltas!$A$2:$P$15000,5,FALSE),"")</f>
        <v/>
      </c>
      <c r="H5" s="0">
        <f>IFERROR(VLOOKUP($A20,Results_30d_Deltas!$A$2:$H$5000,7,FALSE)-E19,"")</f>
        <v/>
      </c>
      <c r="I5" s="0">
        <f>IFERROR(VLOOKUP($A20,Results_30d_Deltas!$A$2:$H$5000,6,FALSE),"")</f>
        <v/>
      </c>
      <c r="L5" s="0" t="inlineStr">
        <is>
          <t>NO</t>
        </is>
      </c>
      <c r="M5" s="0" t="n">
        <v>-2.428130097538838</v>
      </c>
      <c r="IK5" s="0" t="inlineStr">
        <is>
          <t>ez_manage.py:3521 top()</t>
        </is>
      </c>
      <c r="IL5" s="0" t="inlineStr">
        <is>
          <t>v12_quick_engine.py:2267 x7</t>
        </is>
      </c>
    </row>
    <row r="6" ht="10.5" customHeight="1" s="67">
      <c r="A6" s="0" t="inlineStr">
        <is>
          <t>MAX_AUGMENTS_PER_POSITION</t>
        </is>
      </c>
      <c r="B6" s="0" t="inlineStr">
        <is>
          <t>0</t>
        </is>
      </c>
      <c r="G6" s="0">
        <f>IFERROR(VLOOKUP($A39&amp;"_"&amp;$B39,Results_Deltas!$A$2:$P$15000,5,FALSE),"")</f>
        <v/>
      </c>
      <c r="H6" s="0">
        <f>IFERROR(VLOOKUP($A39,Results_30d_Deltas!$A$2:$H$5000,7,FALSE)-E38,"")</f>
        <v/>
      </c>
      <c r="I6" s="0">
        <f>IFERROR(VLOOKUP($A39,Results_30d_Deltas!$A$2:$H$5000,6,FALSE),"")</f>
        <v/>
      </c>
      <c r="L6" s="0" t="inlineStr">
        <is>
          <t>NO</t>
        </is>
      </c>
      <c r="M6" s="0" t="n">
        <v>-0.699311460845238</v>
      </c>
      <c r="IK6" s="0" t="inlineStr">
        <is>
          <t>ez_manage.py:3521 top()</t>
        </is>
      </c>
      <c r="IL6" s="0" t="inlineStr">
        <is>
          <t>v12_quick_engine.py:2267 x7</t>
        </is>
      </c>
    </row>
    <row r="7" ht="10.5" customHeight="1" s="67">
      <c r="A7" s="0" t="inlineStr">
        <is>
          <t>AUGMENT_BULL_KILL_ENABLED</t>
        </is>
      </c>
      <c r="B7" s="0" t="inlineStr">
        <is>
          <t>False</t>
        </is>
      </c>
      <c r="C7" s="0" t="inlineStr">
        <is>
          <t>True</t>
        </is>
      </c>
    </row>
    <row r="8" ht="10.5" customHeight="1" s="67">
      <c r="A8" s="0" t="inlineStr">
        <is>
          <t>MAX_AUGMENTS_PER_POSITION</t>
        </is>
      </c>
      <c r="B8" s="0" t="inlineStr">
        <is>
          <t>999999</t>
        </is>
      </c>
      <c r="C8" s="0" t="inlineStr">
        <is>
          <t>0</t>
        </is>
      </c>
    </row>
    <row r="9" ht="10.5" customHeight="1" s="67">
      <c r="A9" s="0" t="inlineStr">
        <is>
          <t>MAX_AUGMENTS_PER_POSITION</t>
        </is>
      </c>
      <c r="B9" s="0" t="inlineStr">
        <is>
          <t>10</t>
        </is>
      </c>
      <c r="C9" s="0" t="n"/>
    </row>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WT_PERCENTILE_ENTRY_OB_D</t>
        </is>
      </c>
      <c r="B3" s="0" t="inlineStr">
        <is>
          <t>112.5</t>
        </is>
      </c>
      <c r="G3" s="0">
        <f>IFERROR(VLOOKUP($A30&amp;"_"&amp;$B30,Results_Deltas!$A$2:$P$15000,5,FALSE),"")</f>
        <v/>
      </c>
      <c r="H3" s="0">
        <f>IFERROR(VLOOKUP($A30,Results_30d_Deltas!$A$2:$H$5000,7,FALSE)-E29,"")</f>
        <v/>
      </c>
      <c r="I3" s="0">
        <f>IFERROR(VLOOKUP($A30,Results_30d_Deltas!$A$2:$H$5000,6,FALSE),"")</f>
        <v/>
      </c>
      <c r="L3" s="0" t="inlineStr">
        <is>
          <t>YES</t>
        </is>
      </c>
      <c r="M3" s="0" t="n">
        <v>-2.915219023489065</v>
      </c>
      <c r="IK3" s="0" t="inlineStr">
        <is>
          <t>ez_manage.py:5925 top()</t>
        </is>
      </c>
      <c r="IL3" s="0" t="inlineStr">
        <is>
          <t>v12_quick_engine.py:3765 x2</t>
        </is>
      </c>
    </row>
    <row r="4" ht="10.5" customHeight="1" s="67">
      <c r="A4" s="0" t="inlineStr">
        <is>
          <t>QUICK_REDUCE_TECHNICAL_ONLY</t>
        </is>
      </c>
      <c r="B4" s="0" t="inlineStr">
        <is>
          <t>1.0</t>
        </is>
      </c>
      <c r="G4" s="0">
        <f>IFERROR(VLOOKUP($A104&amp;"_"&amp;$B104,Results_Deltas!$A$2:$P$15000,5,FALSE),"")</f>
        <v/>
      </c>
      <c r="H4" s="0">
        <f>IFERROR(VLOOKUP($A104,Results_30d_Deltas!$A$2:$H$5000,7,FALSE)-E103,"")</f>
        <v/>
      </c>
      <c r="I4" s="0">
        <f>IFERROR(VLOOKUP($A104,Results_30d_Deltas!$A$2:$H$5000,6,FALSE),"")</f>
        <v/>
      </c>
      <c r="L4" s="0" t="inlineStr">
        <is>
          <t>NO</t>
        </is>
      </c>
      <c r="M4" s="0" t="n">
        <v>-1.330701692355234</v>
      </c>
      <c r="IK4" s="0" t="inlineStr">
        <is>
          <t>ez_manage.py:5218 top()</t>
        </is>
      </c>
      <c r="IL4" s="0" t="inlineStr">
        <is>
          <t>v12_quick_engine.py:2747 x2</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EXECUTE_NOW_MAX_MARK_AGE_S</t>
        </is>
      </c>
      <c r="B3" s="0" t="inlineStr">
        <is>
          <t>75.0</t>
        </is>
      </c>
      <c r="G3" s="0">
        <f>IFERROR(VLOOKUP($A18&amp;"_"&amp;$B18,Results_Deltas!$A$2:$P$15000,5,FALSE),"")</f>
        <v/>
      </c>
      <c r="H3" s="0">
        <f>IFERROR(VLOOKUP($A18,Results_30d_Deltas!$A$2:$H$5000,7,FALSE)-E17,"")</f>
        <v/>
      </c>
      <c r="I3" s="0">
        <f>IFERROR(VLOOKUP($A18,Results_30d_Deltas!$A$2:$H$5000,6,FALSE),"")</f>
        <v/>
      </c>
      <c r="L3" s="0" t="inlineStr">
        <is>
          <t>NO</t>
        </is>
      </c>
      <c r="M3" s="0" t="n">
        <v>-2.357541555795288</v>
      </c>
      <c r="IK3" s="0" t="inlineStr">
        <is>
          <t>ez_manage.py:4656 top()</t>
        </is>
      </c>
      <c r="IL3" s="0" t="inlineStr">
        <is>
          <t>v12_quick_engine.py:3868 x1</t>
        </is>
      </c>
    </row>
    <row r="4" ht="10.5" customHeight="1" s="67">
      <c r="A4" s="0" t="inlineStr">
        <is>
          <t>COUNTER_TREND_ADD_BLOCK_ENABLED</t>
        </is>
      </c>
      <c r="B4" s="0" t="inlineStr">
        <is>
          <t>False</t>
        </is>
      </c>
      <c r="G4" s="0">
        <f>IFERROR(VLOOKUP($A19&amp;"_"&amp;$B19,Results_Deltas!$A$2:$P$15000,5,FALSE),"")</f>
        <v/>
      </c>
      <c r="H4" s="0">
        <f>IFERROR(VLOOKUP($A19,Results_30d_Deltas!$A$2:$H$5000,7,FALSE)-E18,"")</f>
        <v/>
      </c>
      <c r="I4" s="0">
        <f>IFERROR(VLOOKUP($A19,Results_30d_Deltas!$A$2:$H$5000,6,FALSE),"")</f>
        <v/>
      </c>
      <c r="L4" s="0" t="inlineStr">
        <is>
          <t>NO</t>
        </is>
      </c>
      <c r="M4" s="0" t="n">
        <v>-2.102136099799269</v>
      </c>
      <c r="IK4" s="0" t="inlineStr">
        <is>
          <t>ez_manage.py:3055 top()</t>
        </is>
      </c>
      <c r="IL4" s="0" t="inlineStr">
        <is>
          <t>v12_quick_engine.py:1469 x2</t>
        </is>
      </c>
    </row>
    <row r="5" ht="10.5" customHeight="1" s="67">
      <c r="A5" s="0" t="inlineStr">
        <is>
          <t>OPEN_RATE_BREAKER_ENABLED</t>
        </is>
      </c>
      <c r="B5" s="0" t="inlineStr">
        <is>
          <t>False</t>
        </is>
      </c>
      <c r="G5" s="0">
        <f>IFERROR(VLOOKUP($A25&amp;"_"&amp;$B25,Results_Deltas!$A$2:$P$15000,5,FALSE),"")</f>
        <v/>
      </c>
      <c r="H5" s="0">
        <f>IFERROR(VLOOKUP($A25,Results_30d_Deltas!$A$2:$H$5000,7,FALSE)-E24,"")</f>
        <v/>
      </c>
      <c r="I5" s="0">
        <f>IFERROR(VLOOKUP($A25,Results_30d_Deltas!$A$2:$H$5000,6,FALSE),"")</f>
        <v/>
      </c>
      <c r="L5" s="0" t="inlineStr">
        <is>
          <t>NO</t>
        </is>
      </c>
      <c r="M5" s="0" t="n">
        <v>-1.648363718523859</v>
      </c>
      <c r="IK5" s="0" t="inlineStr">
        <is>
          <t>ez_manage.py:5141 top()</t>
        </is>
      </c>
      <c r="IL5" s="0" t="inlineStr">
        <is>
          <t>v12_quick_engine.py:2538 x1</t>
        </is>
      </c>
    </row>
    <row r="6" ht="10.5" customHeight="1" s="67">
      <c r="A6" s="0" t="inlineStr">
        <is>
          <t>OPEN_RATE_MAX</t>
        </is>
      </c>
      <c r="B6" s="0" t="inlineStr">
        <is>
          <t>15</t>
        </is>
      </c>
      <c r="G6" s="0">
        <f>IFERROR(VLOOKUP($A26&amp;"_"&amp;$B26,Results_Deltas!$A$2:$P$15000,5,FALSE),"")</f>
        <v/>
      </c>
      <c r="H6" s="0">
        <f>IFERROR(VLOOKUP($A26,Results_30d_Deltas!$A$2:$H$5000,7,FALSE)-E25,"")</f>
        <v/>
      </c>
      <c r="I6" s="0">
        <f>IFERROR(VLOOKUP($A26,Results_30d_Deltas!$A$2:$H$5000,6,FALSE),"")</f>
        <v/>
      </c>
      <c r="L6" s="0" t="inlineStr">
        <is>
          <t>NO</t>
        </is>
      </c>
      <c r="M6" s="0" t="n">
        <v>-1.521968831913449</v>
      </c>
      <c r="IK6" s="0" t="inlineStr">
        <is>
          <t>ez_manage.py:5142 top()</t>
        </is>
      </c>
      <c r="IL6" s="0" t="inlineStr">
        <is>
          <t>v12_quick_engine.py:2539 x1</t>
        </is>
      </c>
    </row>
    <row r="7" ht="10.5" customHeight="1" s="67">
      <c r="A7" s="0" t="inlineStr">
        <is>
          <t>UNIVERSAL_NOLOSS_GATE</t>
        </is>
      </c>
      <c r="B7" s="0" t="inlineStr">
        <is>
          <t>True</t>
        </is>
      </c>
      <c r="G7" s="0">
        <f>IFERROR(VLOOKUP($A24&amp;"_"&amp;$B24,Results_Deltas!$A$2:$P$15000,5,FALSE),"")</f>
        <v/>
      </c>
      <c r="H7" s="0">
        <f>IFERROR(VLOOKUP($A24,Results_30d_Deltas!$A$2:$H$5000,7,FALSE)-E23,"")</f>
        <v/>
      </c>
      <c r="I7" s="0">
        <f>IFERROR(VLOOKUP($A24,Results_30d_Deltas!$A$2:$H$5000,6,FALSE),"")</f>
        <v/>
      </c>
      <c r="L7" s="0" t="inlineStr">
        <is>
          <t>NO</t>
        </is>
      </c>
      <c r="M7" s="0" t="n">
        <v>-1.400646119139731</v>
      </c>
      <c r="IK7" s="0" t="inlineStr">
        <is>
          <t>ez_manage.py:4233 top()</t>
        </is>
      </c>
      <c r="IL7" s="0" t="inlineStr">
        <is>
          <t>v12_quick_engine.py:837 x18</t>
        </is>
      </c>
    </row>
    <row r="8" ht="10.5" customHeight="1" s="67">
      <c r="A8" s="0" t="inlineStr">
        <is>
          <t>COUNTER_TREND_SMA200_BYPASS_ENABLED</t>
        </is>
      </c>
      <c r="B8" s="0" t="inlineStr">
        <is>
          <t>False</t>
        </is>
      </c>
      <c r="G8" s="0">
        <f>IFERROR(VLOOKUP($A28&amp;"_"&amp;$B28,Results_Deltas!$A$2:$P$15000,5,FALSE),"")</f>
        <v/>
      </c>
      <c r="H8" s="0">
        <f>IFERROR(VLOOKUP($A28,Results_30d_Deltas!$A$2:$H$5000,7,FALSE)-E27,"")</f>
        <v/>
      </c>
      <c r="I8" s="0">
        <f>IFERROR(VLOOKUP($A28,Results_30d_Deltas!$A$2:$H$5000,6,FALSE),"")</f>
        <v/>
      </c>
      <c r="L8" s="0" t="inlineStr">
        <is>
          <t>NO</t>
        </is>
      </c>
      <c r="M8" s="0" t="n">
        <v>-1.288245093233959</v>
      </c>
      <c r="IK8" s="0" t="inlineStr">
        <is>
          <t>ez_manage.py:3056 top()</t>
        </is>
      </c>
      <c r="IL8" s="0" t="inlineStr">
        <is>
          <t>v12_quick_engine.py:1470 x6</t>
        </is>
      </c>
    </row>
    <row r="9" ht="10.5" customHeight="1" s="67">
      <c r="A9" s="0" t="inlineStr">
        <is>
          <t>OPEN_RATE_BREAKER_ENABLED</t>
        </is>
      </c>
      <c r="B9" s="0" t="inlineStr">
        <is>
          <t>True</t>
        </is>
      </c>
      <c r="G9" s="0">
        <f>IFERROR(VLOOKUP($A37&amp;"_"&amp;$B37,Results_Deltas!$A$2:$P$15000,5,FALSE),"")</f>
        <v/>
      </c>
      <c r="H9" s="0">
        <f>IFERROR(VLOOKUP($A37,Results_30d_Deltas!$A$2:$H$5000,7,FALSE)-E36,"")</f>
        <v/>
      </c>
      <c r="I9" s="0">
        <f>IFERROR(VLOOKUP($A37,Results_30d_Deltas!$A$2:$H$5000,6,FALSE),"")</f>
        <v/>
      </c>
      <c r="L9" s="0" t="inlineStr">
        <is>
          <t>YES</t>
        </is>
      </c>
      <c r="M9" s="0" t="n">
        <v>-0.2602864272339891</v>
      </c>
      <c r="IK9" s="0" t="inlineStr">
        <is>
          <t>ez_manage.py:5141 top()</t>
        </is>
      </c>
      <c r="IL9" s="0" t="inlineStr">
        <is>
          <t>v12_quick_engine.py:2538 x1</t>
        </is>
      </c>
    </row>
    <row r="10" ht="10.5" customHeight="1" s="67">
      <c r="A10" s="0" t="inlineStr">
        <is>
          <t>UNIVERSAL_NOLOSS_GATE</t>
        </is>
      </c>
      <c r="B10" s="0" t="inlineStr">
        <is>
          <t>False</t>
        </is>
      </c>
      <c r="G10" s="0">
        <f>IFERROR(VLOOKUP($A36&amp;"="&amp;$B36,Results_Deltas!$A$2:$P$15000,5,FALSE),"")</f>
        <v/>
      </c>
      <c r="H10" s="0">
        <f>IFERROR(VLOOKUP($A36,Results_30d_Deltas!$A$2:$H$5000,7,FALSE)-E36,"")</f>
        <v/>
      </c>
      <c r="I10" s="0">
        <f>IFERROR(VLOOKUP($A36,Results_30d_Deltas!$A$2:$H$5000,6,FALSE),"")</f>
        <v/>
      </c>
      <c r="L10" s="0" t="inlineStr">
        <is>
          <t>YES</t>
        </is>
      </c>
      <c r="M10" s="0" t="n">
        <v>0.05033770428357402</v>
      </c>
      <c r="IK10" s="0" t="inlineStr">
        <is>
          <t>ez_manage.py:4233 top()</t>
        </is>
      </c>
      <c r="IL10" s="0" t="inlineStr">
        <is>
          <t>v12_quick_engine.py:837 x18</t>
        </is>
      </c>
    </row>
    <row r="11" ht="10.5" customHeight="1" s="67">
      <c r="A11" s="0" t="inlineStr">
        <is>
          <t>UNIVERSAL_NOLOSS_GATE</t>
        </is>
      </c>
      <c r="B11" s="0" t="inlineStr">
        <is>
          <t>False</t>
        </is>
      </c>
      <c r="G11" s="0">
        <f>IFERROR(VLOOKUP($A55&amp;"_"&amp;$B55,Results_Deltas!$A$2:$P$15000,5,FALSE),"")</f>
        <v/>
      </c>
      <c r="H11" s="0">
        <f>IFERROR(VLOOKUP($A56,Results_30d_Deltas!$A$2:$H$5000,7,FALSE)-E-155,"")</f>
        <v/>
      </c>
      <c r="I11" s="0">
        <f>IFERROR(VLOOKUP($A56,Results_30d_Deltas!$A$2:$H$5000,6,FALSE),"")</f>
        <v/>
      </c>
      <c r="L11" s="0" t="inlineStr">
        <is>
          <t>YES</t>
        </is>
      </c>
      <c r="M11" s="0" t="n">
        <v>0.05033770428357402</v>
      </c>
      <c r="IK11" s="0" t="inlineStr">
        <is>
          <t>ez_manage.py:4233 top()</t>
        </is>
      </c>
      <c r="IL11" s="0" t="inlineStr">
        <is>
          <t>v12_quick_engine.py:837 x18</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0" t="n">
        <v>1</v>
      </c>
      <c r="B3" s="0" t="inlineStr">
        <is>
          <t>ADX_RANGING_THRESHOLD</t>
        </is>
      </c>
      <c r="C3" s="0" t="inlineStr">
        <is>
          <t>25</t>
        </is>
      </c>
      <c r="D3" s="0" t="inlineStr">
        <is>
          <t>Threshold/gate: ADX_RANGING_THRESHOLD — _adx_thresh = float(getattr(config, "ADX_RANGING_THRESHOLD", 20.0)) | ex: `_adx_thresh = float(getattr(config, "ADX_RANGING_THRESHOLD", 20.0))`</t>
        </is>
      </c>
      <c r="E3" s="0" t="inlineStr">
        <is>
          <t>ENTRY, GLOBAL_CHECK, STOCKS_EXIT</t>
        </is>
      </c>
      <c r="F3" s="0" t="inlineStr">
        <is>
          <t>ENTRY, GLOBAL_CHECK, STOCKS_EXIT</t>
        </is>
      </c>
      <c r="G3" s="0" t="inlineStr">
        <is>
          <t>ADX_RANGING_THRESHOLD</t>
        </is>
      </c>
      <c r="H3" s="0" t="inlineStr">
        <is>
          <t>GENERAL</t>
        </is>
      </c>
      <c r="I3" s="0" t="inlineStr">
        <is>
          <t>LIVE — wired</t>
        </is>
      </c>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0" t="n">
        <v>1</v>
      </c>
      <c r="B4" s="0" t="inlineStr">
        <is>
          <t>ADX_RANGING_THRESHOLD</t>
        </is>
      </c>
      <c r="C4" s="0" t="inlineStr">
        <is>
          <t>15</t>
        </is>
      </c>
      <c r="D4" s="0" t="inlineStr">
        <is>
          <t>Threshold/gate: ADX_RANGING_THRESHOLD — _adx_thresh = float(getattr(config, "ADX_RANGING_THRESHOLD", 20.0)) | ex: `_adx_thresh = float(getattr(config, "ADX_RANGING_THRESHOLD", 20.0))`</t>
        </is>
      </c>
      <c r="E4" s="0" t="inlineStr">
        <is>
          <t>ENTRY, GLOBAL_CHECK, STOCKS_EXIT</t>
        </is>
      </c>
      <c r="F4" s="0" t="inlineStr">
        <is>
          <t>ENTRY, GLOBAL_CHECK, STOCKS_EXIT</t>
        </is>
      </c>
      <c r="G4" s="0" t="inlineStr">
        <is>
          <t>ADX_RANGING_THRESHOLD</t>
        </is>
      </c>
      <c r="H4" s="0" t="inlineStr">
        <is>
          <t>GENERAL</t>
        </is>
      </c>
      <c r="I4" s="0" t="inlineStr">
        <is>
          <t>LIVE — wired</t>
        </is>
      </c>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0" t="n">
        <v>1</v>
      </c>
      <c r="B5" s="0" t="inlineStr">
        <is>
          <t>ADX_RANGING_THRESHOLD</t>
        </is>
      </c>
      <c r="C5" s="0" t="inlineStr">
        <is>
          <t>10</t>
        </is>
      </c>
      <c r="D5" s="0" t="inlineStr">
        <is>
          <t>Threshold/gate: ADX_RANGING_THRESHOLD — _adx_thresh = float(getattr(config, "ADX_RANGING_THRESHOLD", 20.0)) | ex: `_adx_thresh = float(getattr(config, "ADX_RANGING_THRESHOLD", 20.0))`</t>
        </is>
      </c>
      <c r="E5" s="0" t="inlineStr">
        <is>
          <t>ENTRY, GLOBAL_CHECK, STOCKS_EXIT</t>
        </is>
      </c>
      <c r="F5" s="0" t="inlineStr">
        <is>
          <t>ENTRY, GLOBAL_CHECK, STOCKS_EXIT</t>
        </is>
      </c>
      <c r="G5" s="0" t="inlineStr">
        <is>
          <t>ADX_RANGING_THRESHOLD</t>
        </is>
      </c>
      <c r="H5" s="0" t="inlineStr">
        <is>
          <t>GENERAL</t>
        </is>
      </c>
      <c r="I5" s="0" t="inlineStr">
        <is>
          <t>LIVE — wired</t>
        </is>
      </c>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0" t="n">
        <v>2</v>
      </c>
      <c r="B6" s="0" t="inlineStr">
        <is>
          <t>ATR_TRAIL_FILTER_TF</t>
        </is>
      </c>
      <c r="C6" s="0" t="inlineStr">
        <is>
          <t>OFF</t>
        </is>
      </c>
      <c r="D6"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0" t="inlineStr">
        <is>
          <t>GLOBAL_CHECK</t>
        </is>
      </c>
      <c r="F6" s="0" t="inlineStr">
        <is>
          <t>EXIT</t>
        </is>
      </c>
      <c r="G6" s="0" t="inlineStr">
        <is>
          <t>ATR trail exits</t>
        </is>
      </c>
      <c r="H6" s="0" t="inlineStr">
        <is>
          <t>SPECIFIC — only gated switches</t>
        </is>
      </c>
      <c r="I6" s="0" t="inlineStr">
        <is>
          <t>LIVE — wired</t>
        </is>
      </c>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0" t="n">
        <v>2</v>
      </c>
      <c r="B7" s="0" t="inlineStr">
        <is>
          <t>ATR_TRAIL_FILTER_TF</t>
        </is>
      </c>
      <c r="C7" s="0" t="inlineStr">
        <is>
          <t>D</t>
        </is>
      </c>
      <c r="D7"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0" t="inlineStr">
        <is>
          <t>GLOBAL_CHECK</t>
        </is>
      </c>
      <c r="F7" s="0" t="inlineStr">
        <is>
          <t>EXIT</t>
        </is>
      </c>
      <c r="G7" s="0" t="inlineStr">
        <is>
          <t>ATR trail exits</t>
        </is>
      </c>
      <c r="H7" s="0" t="inlineStr">
        <is>
          <t>SPECIFIC — only gated switches</t>
        </is>
      </c>
      <c r="I7" s="0" t="inlineStr">
        <is>
          <t>LIVE — wired</t>
        </is>
      </c>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0" t="n">
        <v>2</v>
      </c>
      <c r="B8" s="0" t="inlineStr">
        <is>
          <t>ATR_TRAIL_FILTER_TF</t>
        </is>
      </c>
      <c r="C8" s="0" t="inlineStr">
        <is>
          <t>4h</t>
        </is>
      </c>
      <c r="D8"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0" t="inlineStr">
        <is>
          <t>GLOBAL_CHECK</t>
        </is>
      </c>
      <c r="F8" s="0" t="inlineStr">
        <is>
          <t>EXIT</t>
        </is>
      </c>
      <c r="G8" s="0" t="inlineStr">
        <is>
          <t>ATR trail exits</t>
        </is>
      </c>
      <c r="H8" s="0" t="inlineStr">
        <is>
          <t>SPECIFIC — only gated switches</t>
        </is>
      </c>
      <c r="I8" s="0" t="inlineStr">
        <is>
          <t>LIVE — wired</t>
        </is>
      </c>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0" t="n">
        <v>2</v>
      </c>
      <c r="B9" s="0" t="inlineStr">
        <is>
          <t>ATR_TRAIL_FILTER_TF</t>
        </is>
      </c>
      <c r="C9" s="0" t="inlineStr">
        <is>
          <t>1h</t>
        </is>
      </c>
      <c r="D9"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0" t="inlineStr">
        <is>
          <t>GLOBAL_CHECK</t>
        </is>
      </c>
      <c r="F9" s="0" t="inlineStr">
        <is>
          <t>EXIT</t>
        </is>
      </c>
      <c r="G9" s="0" t="inlineStr">
        <is>
          <t>ATR trail exits</t>
        </is>
      </c>
      <c r="H9" s="0" t="inlineStr">
        <is>
          <t>SPECIFIC — only gated switches</t>
        </is>
      </c>
      <c r="I9" s="0" t="inlineStr">
        <is>
          <t>LIVE — wired</t>
        </is>
      </c>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0" t="n">
        <v>2</v>
      </c>
      <c r="B10" s="0" t="inlineStr">
        <is>
          <t>ATR_TRAIL_FILTER_TF</t>
        </is>
      </c>
      <c r="C10" s="0" t="inlineStr">
        <is>
          <t>15m</t>
        </is>
      </c>
      <c r="D10"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0" t="inlineStr">
        <is>
          <t>GLOBAL_CHECK</t>
        </is>
      </c>
      <c r="F10" s="0" t="inlineStr">
        <is>
          <t>EXIT</t>
        </is>
      </c>
      <c r="G10" s="0" t="inlineStr">
        <is>
          <t>ATR trail exits</t>
        </is>
      </c>
      <c r="H10" s="0" t="inlineStr">
        <is>
          <t>SPECIFIC — only gated switches</t>
        </is>
      </c>
      <c r="I10" s="0" t="inlineStr">
        <is>
          <t>LIVE — wired</t>
        </is>
      </c>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0" t="n">
        <v>3</v>
      </c>
      <c r="B11" s="0" t="inlineStr">
        <is>
          <t>BANDAID_OFF_LOSER_RECOVER_PCT</t>
        </is>
      </c>
      <c r="C11" s="0" t="inlineStr">
        <is>
          <t>0</t>
        </is>
      </c>
      <c r="D11" s="0" t="inlineStr">
        <is>
          <t>Threshold/gate: BANDAID_OFF_LOSER_RECOVER_PCT — 'AUG_COOLDOWN_S', 'AVAILABLE_IPS', 'BACKUP_KLINES_CACHE', 'BANDAID_OFF_LOSER_RECOVER_PCT', 'BAND_FILE', 'BASE_TF', | ex: `'AUG_COOLDOWN_S', 'AVAILABLE_IPS', 'BACKUP_KLINES_CACHE', 'BANDAID_OFF_LOSER_REC`</t>
        </is>
      </c>
      <c r="E11" s="0" t="inlineStr">
        <is>
          <t>AUGMENT, ENTRY, EXIT, GLOBAL_CHECK, REDUCE, STOCKS_EXIT</t>
        </is>
      </c>
      <c r="F11" s="0" t="inlineStr">
        <is>
          <t>AUGMENT, ENTRY, EXIT, GLOBAL_CHECK, REDUCE, STOCKS_EXIT</t>
        </is>
      </c>
      <c r="G11" s="0" t="inlineStr">
        <is>
          <t>BANDAID_OFF_LOSER_RECOVER_PCT</t>
        </is>
      </c>
      <c r="H11" s="0" t="inlineStr">
        <is>
          <t>GENERAL</t>
        </is>
      </c>
      <c r="I11" s="0" t="inlineStr">
        <is>
          <t>LIVE — wired</t>
        </is>
      </c>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0" t="n">
        <v>3</v>
      </c>
      <c r="B12" s="0" t="inlineStr">
        <is>
          <t>BANDAID_OFF_LOSER_RECOVER_PCT</t>
        </is>
      </c>
      <c r="C12" s="0" t="inlineStr">
        <is>
          <t>2.0</t>
        </is>
      </c>
      <c r="D12" s="0" t="inlineStr">
        <is>
          <t>Threshold/gate: BANDAID_OFF_LOSER_RECOVER_PCT — 'AUG_COOLDOWN_S', 'AVAILABLE_IPS', 'BACKUP_KLINES_CACHE', 'BANDAID_OFF_LOSER_RECOVER_PCT', 'BAND_FILE', 'BASE_TF', | ex: `'AUG_COOLDOWN_S', 'AVAILABLE_IPS', 'BACKUP_KLINES_CACHE', 'BANDAID_OFF_LOSER_REC`</t>
        </is>
      </c>
      <c r="E12" s="0" t="inlineStr">
        <is>
          <t>AUGMENT, ENTRY, EXIT, GLOBAL_CHECK, REDUCE, STOCKS_EXIT</t>
        </is>
      </c>
      <c r="F12" s="0" t="inlineStr">
        <is>
          <t>AUGMENT, ENTRY, EXIT, GLOBAL_CHECK, REDUCE, STOCKS_EXIT</t>
        </is>
      </c>
      <c r="G12" s="0" t="inlineStr">
        <is>
          <t>BANDAID_OFF_LOSER_RECOVER_PCT</t>
        </is>
      </c>
      <c r="H12" s="0" t="inlineStr">
        <is>
          <t>GENERAL</t>
        </is>
      </c>
      <c r="I12" s="0" t="inlineStr">
        <is>
          <t>LIVE — wired</t>
        </is>
      </c>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0" t="n">
        <v>3</v>
      </c>
      <c r="B13" s="0" t="inlineStr">
        <is>
          <t>BANDAID_OFF_LOSER_RECOVER_PCT</t>
        </is>
      </c>
      <c r="C13" s="0" t="inlineStr">
        <is>
          <t>1.0</t>
        </is>
      </c>
      <c r="D13" s="0" t="inlineStr">
        <is>
          <t>Threshold/gate: BANDAID_OFF_LOSER_RECOVER_PCT — 'AUG_COOLDOWN_S', 'AVAILABLE_IPS', 'BACKUP_KLINES_CACHE', 'BANDAID_OFF_LOSER_RECOVER_PCT', 'BAND_FILE', 'BASE_TF', | ex: `'AUG_COOLDOWN_S', 'AVAILABLE_IPS', 'BACKUP_KLINES_CACHE', 'BANDAID_OFF_LOSER_REC`</t>
        </is>
      </c>
      <c r="E13" s="0" t="inlineStr">
        <is>
          <t>AUGMENT, ENTRY, EXIT, GLOBAL_CHECK, REDUCE, STOCKS_EXIT</t>
        </is>
      </c>
      <c r="F13" s="0" t="inlineStr">
        <is>
          <t>AUGMENT, ENTRY, EXIT, GLOBAL_CHECK, REDUCE, STOCKS_EXIT</t>
        </is>
      </c>
      <c r="G13" s="0" t="inlineStr">
        <is>
          <t>BANDAID_OFF_LOSER_RECOVER_PCT</t>
        </is>
      </c>
      <c r="H13" s="0" t="inlineStr">
        <is>
          <t>GENERAL</t>
        </is>
      </c>
      <c r="I13" s="0" t="inlineStr">
        <is>
          <t>LIVE — wired</t>
        </is>
      </c>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0" t="n">
        <v>3</v>
      </c>
      <c r="B14" s="0" t="inlineStr">
        <is>
          <t>BANDAID_OFF_LOSER_RECOVER_PCT</t>
        </is>
      </c>
      <c r="C14" s="0" t="inlineStr">
        <is>
          <t>0.5</t>
        </is>
      </c>
      <c r="D14" s="0" t="inlineStr">
        <is>
          <t>Threshold/gate: BANDAID_OFF_LOSER_RECOVER_PCT — 'AUG_COOLDOWN_S', 'AVAILABLE_IPS', 'BACKUP_KLINES_CACHE', 'BANDAID_OFF_LOSER_RECOVER_PCT', 'BAND_FILE', 'BASE_TF', | ex: `'AUG_COOLDOWN_S', 'AVAILABLE_IPS', 'BACKUP_KLINES_CACHE', 'BANDAID_OFF_LOSER_REC`</t>
        </is>
      </c>
      <c r="E14" s="0" t="inlineStr">
        <is>
          <t>AUGMENT, ENTRY, EXIT, GLOBAL_CHECK, REDUCE, STOCKS_EXIT</t>
        </is>
      </c>
      <c r="F14" s="0" t="inlineStr">
        <is>
          <t>AUGMENT, ENTRY, EXIT, GLOBAL_CHECK, REDUCE, STOCKS_EXIT</t>
        </is>
      </c>
      <c r="G14" s="0" t="inlineStr">
        <is>
          <t>BANDAID_OFF_LOSER_RECOVER_PCT</t>
        </is>
      </c>
      <c r="H14" s="0" t="inlineStr">
        <is>
          <t>GENERAL</t>
        </is>
      </c>
      <c r="I14" s="0" t="inlineStr">
        <is>
          <t>LIVE — wired</t>
        </is>
      </c>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0" t="n">
        <v>4</v>
      </c>
      <c r="B15" s="0" t="inlineStr">
        <is>
          <t>BAND_ARROW_ENABLED</t>
        </is>
      </c>
      <c r="C15" s="0" t="inlineStr">
        <is>
          <t>False</t>
        </is>
      </c>
      <c r="D15" s="0" t="inlineStr">
        <is>
          <t>Enables BAND+ARROW confluence entry (Donchian/BB + WT arrow). When OFF, that entry path is skipped. | Live read: `_EXHAUSTIVE_FILTER_LIST_LIVE = ['ADAPTIVE_REGIME_DC_BREAKDOWN_THRESHOLD', 'ADAPT`</t>
        </is>
      </c>
      <c r="E15" s="0" t="inlineStr">
        <is>
          <t>GLOBAL_CHECK, STOCKS_EXIT</t>
        </is>
      </c>
      <c r="F15" s="0" t="inlineStr">
        <is>
          <t>GLOBAL_CHECK, STOCKS_EXIT</t>
        </is>
      </c>
      <c r="G15" s="0" t="inlineStr">
        <is>
          <t>BAND_ARROW_ENABLED</t>
        </is>
      </c>
      <c r="H15" s="0" t="inlineStr">
        <is>
          <t>GENERAL</t>
        </is>
      </c>
      <c r="I15" s="0" t="inlineStr">
        <is>
          <t>LIVE — wired</t>
        </is>
      </c>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0" t="n">
        <v>4</v>
      </c>
      <c r="B16" s="0" t="inlineStr">
        <is>
          <t>BAND_ARROW_ENABLED</t>
        </is>
      </c>
      <c r="C16" s="0" t="inlineStr">
        <is>
          <t>True</t>
        </is>
      </c>
      <c r="D16" s="0" t="inlineStr">
        <is>
          <t>Enables BAND+ARROW confluence entry (Donchian/BB + WT arrow). When OFF, that entry path is skipped. | Live read: `_EXHAUSTIVE_FILTER_LIST_LIVE = ['ADAPTIVE_REGIME_DC_BREAKDOWN_THRESHOLD', 'ADAPT`</t>
        </is>
      </c>
      <c r="E16" s="0" t="inlineStr">
        <is>
          <t>GLOBAL_CHECK, STOCKS_EXIT</t>
        </is>
      </c>
      <c r="F16" s="0" t="inlineStr">
        <is>
          <t>GLOBAL_CHECK, STOCKS_EXIT</t>
        </is>
      </c>
      <c r="G16" s="0" t="inlineStr">
        <is>
          <t>BAND_ARROW_ENABLED</t>
        </is>
      </c>
      <c r="H16" s="0" t="inlineStr">
        <is>
          <t>GENERAL</t>
        </is>
      </c>
      <c r="I16" s="0" t="inlineStr">
        <is>
          <t>LIVE — wired</t>
        </is>
      </c>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0" t="n">
        <v>5</v>
      </c>
      <c r="B17" s="0" t="inlineStr">
        <is>
          <t>BAR_PATTERNS_FILTER_TF</t>
        </is>
      </c>
      <c r="C17" s="0" t="inlineStr">
        <is>
          <t>OFF</t>
        </is>
      </c>
      <c r="D17" s="0" t="inlineStr">
        <is>
          <t>Requires bar-pattern (engulfing/pin) confirmation on given TFs before entry. | Live read: `_EXHAUSTIVE_FILTER_LIST_LIVE = ['ADAPTIVE_REGIME_DC_BREAKDOWN_THRESHOLD', 'ADAPT`</t>
        </is>
      </c>
      <c r="E17" s="0" t="inlineStr">
        <is>
          <t>GLOBAL_CHECK</t>
        </is>
      </c>
      <c r="F17" s="0" t="inlineStr">
        <is>
          <t>GLOBAL_CHECK</t>
        </is>
      </c>
      <c r="G17" s="0" t="inlineStr">
        <is>
          <t>BAR_PATTERNS</t>
        </is>
      </c>
      <c r="H17" s="0" t="inlineStr">
        <is>
          <t>SPECIFIC — only gated switches</t>
        </is>
      </c>
      <c r="I17" s="0" t="inlineStr">
        <is>
          <t>LIVE — wired</t>
        </is>
      </c>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0" t="n">
        <v>5</v>
      </c>
      <c r="B18" s="0" t="inlineStr">
        <is>
          <t>BAR_PATTERNS_FILTER_TF</t>
        </is>
      </c>
      <c r="C18" s="0" t="inlineStr">
        <is>
          <t>D</t>
        </is>
      </c>
      <c r="D18" s="0" t="inlineStr">
        <is>
          <t>Requires bar-pattern (engulfing/pin) confirmation on given TFs before entry. | Live read: `_EXHAUSTIVE_FILTER_LIST_LIVE = ['ADAPTIVE_REGIME_DC_BREAKDOWN_THRESHOLD', 'ADAPT`</t>
        </is>
      </c>
      <c r="E18" s="0" t="inlineStr">
        <is>
          <t>GLOBAL_CHECK</t>
        </is>
      </c>
      <c r="F18" s="0" t="inlineStr">
        <is>
          <t>GLOBAL_CHECK</t>
        </is>
      </c>
      <c r="G18" s="0" t="inlineStr">
        <is>
          <t>BAR_PATTERNS</t>
        </is>
      </c>
      <c r="H18" s="0" t="inlineStr">
        <is>
          <t>SPECIFIC — only gated switches</t>
        </is>
      </c>
      <c r="I18" s="0" t="inlineStr">
        <is>
          <t>LIVE — wired</t>
        </is>
      </c>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0" t="n">
        <v>5</v>
      </c>
      <c r="B19" s="0" t="inlineStr">
        <is>
          <t>BAR_PATTERNS_FILTER_TF</t>
        </is>
      </c>
      <c r="C19" s="0" t="inlineStr">
        <is>
          <t>4h</t>
        </is>
      </c>
      <c r="D19" s="0" t="inlineStr">
        <is>
          <t>Requires bar-pattern (engulfing/pin) confirmation on given TFs before entry. | Live read: `_EXHAUSTIVE_FILTER_LIST_LIVE = ['ADAPTIVE_REGIME_DC_BREAKDOWN_THRESHOLD', 'ADAPT`</t>
        </is>
      </c>
      <c r="E19" s="0" t="inlineStr">
        <is>
          <t>GLOBAL_CHECK</t>
        </is>
      </c>
      <c r="F19" s="0" t="inlineStr">
        <is>
          <t>GLOBAL_CHECK</t>
        </is>
      </c>
      <c r="G19" s="0" t="inlineStr">
        <is>
          <t>BAR_PATTERNS</t>
        </is>
      </c>
      <c r="H19" s="0" t="inlineStr">
        <is>
          <t>SPECIFIC — only gated switches</t>
        </is>
      </c>
      <c r="I19" s="0" t="inlineStr">
        <is>
          <t>LIVE — wired</t>
        </is>
      </c>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0" t="n">
        <v>5</v>
      </c>
      <c r="B20" s="0" t="inlineStr">
        <is>
          <t>BAR_PATTERNS_FILTER_TF</t>
        </is>
      </c>
      <c r="C20" s="0" t="inlineStr">
        <is>
          <t>1h</t>
        </is>
      </c>
      <c r="D20" s="0" t="inlineStr">
        <is>
          <t>Requires bar-pattern (engulfing/pin) confirmation on given TFs before entry. | Live read: `_EXHAUSTIVE_FILTER_LIST_LIVE = ['ADAPTIVE_REGIME_DC_BREAKDOWN_THRESHOLD', 'ADAPT`</t>
        </is>
      </c>
      <c r="E20" s="0" t="inlineStr">
        <is>
          <t>GLOBAL_CHECK</t>
        </is>
      </c>
      <c r="F20" s="0" t="inlineStr">
        <is>
          <t>GLOBAL_CHECK</t>
        </is>
      </c>
      <c r="G20" s="0" t="inlineStr">
        <is>
          <t>BAR_PATTERNS</t>
        </is>
      </c>
      <c r="H20" s="0" t="inlineStr">
        <is>
          <t>SPECIFIC — only gated switches</t>
        </is>
      </c>
      <c r="I20" s="0" t="inlineStr">
        <is>
          <t>LIVE — wired</t>
        </is>
      </c>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0" t="n">
        <v>5</v>
      </c>
      <c r="B21" s="0" t="inlineStr">
        <is>
          <t>BAR_PATTERNS_FILTER_TF</t>
        </is>
      </c>
      <c r="C21" s="0" t="inlineStr">
        <is>
          <t>15m</t>
        </is>
      </c>
      <c r="D21" s="0" t="inlineStr">
        <is>
          <t>Requires bar-pattern (engulfing/pin) confirmation on given TFs before entry. | Live read: `_EXHAUSTIVE_FILTER_LIST_LIVE = ['ADAPTIVE_REGIME_DC_BREAKDOWN_THRESHOLD', 'ADAPT`</t>
        </is>
      </c>
      <c r="E21" s="0" t="inlineStr">
        <is>
          <t>GLOBAL_CHECK</t>
        </is>
      </c>
      <c r="F21" s="0" t="inlineStr">
        <is>
          <t>GLOBAL_CHECK</t>
        </is>
      </c>
      <c r="G21" s="0" t="inlineStr">
        <is>
          <t>BAR_PATTERNS</t>
        </is>
      </c>
      <c r="H21" s="0" t="inlineStr">
        <is>
          <t>SPECIFIC — only gated switches</t>
        </is>
      </c>
      <c r="I21" s="0" t="inlineStr">
        <is>
          <t>LIVE — wired</t>
        </is>
      </c>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0" t="n">
        <v>6</v>
      </c>
      <c r="B22" s="0" t="inlineStr">
        <is>
          <t>BB_PULLBACK_GATE_FILTER_TF</t>
        </is>
      </c>
      <c r="C22" s="0" t="inlineStr">
        <is>
          <t>OFF</t>
        </is>
      </c>
      <c r="D22" s="0" t="inlineStr">
        <is>
          <t>Pullback filter — blocks pullback entries unless BB position confirms oversold/bounce on FILTER_TF. | Live read: `_EXHAUSTIVE_FILTER_LIST_LIVE = ['ADAPTIVE_REGIME_DC_BREAKDOWN_THRESHOLD', 'ADAPT`</t>
        </is>
      </c>
      <c r="E22" s="0" t="inlineStr">
        <is>
          <t>GLOBAL_CHECK</t>
        </is>
      </c>
      <c r="F22" s="0" t="inlineStr">
        <is>
          <t>GLOBAL_CHECK</t>
        </is>
      </c>
      <c r="G22" s="0" t="inlineStr">
        <is>
          <t>BB pullback entries</t>
        </is>
      </c>
      <c r="H22" s="0" t="inlineStr">
        <is>
          <t>SPECIFIC — only gated switches</t>
        </is>
      </c>
      <c r="I22" s="0" t="inlineStr">
        <is>
          <t>LIVE — wired</t>
        </is>
      </c>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0" t="n">
        <v>6</v>
      </c>
      <c r="B23" s="0" t="inlineStr">
        <is>
          <t>BB_PULLBACK_GATE_FILTER_TF</t>
        </is>
      </c>
      <c r="C23" s="0" t="inlineStr">
        <is>
          <t>D</t>
        </is>
      </c>
      <c r="D23" s="0" t="inlineStr">
        <is>
          <t>Pullback filter — blocks pullback entries unless BB position confirms oversold/bounce on FILTER_TF. | Live read: `_EXHAUSTIVE_FILTER_LIST_LIVE = ['ADAPTIVE_REGIME_DC_BREAKDOWN_THRESHOLD', 'ADAPT`</t>
        </is>
      </c>
      <c r="E23" s="0" t="inlineStr">
        <is>
          <t>GLOBAL_CHECK</t>
        </is>
      </c>
      <c r="F23" s="0" t="inlineStr">
        <is>
          <t>GLOBAL_CHECK</t>
        </is>
      </c>
      <c r="G23" s="0" t="inlineStr">
        <is>
          <t>BB pullback entries</t>
        </is>
      </c>
      <c r="H23" s="0" t="inlineStr">
        <is>
          <t>SPECIFIC — only gated switches</t>
        </is>
      </c>
      <c r="I23" s="0" t="inlineStr">
        <is>
          <t>LIVE — wired</t>
        </is>
      </c>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0" t="n">
        <v>6</v>
      </c>
      <c r="B24" s="0" t="inlineStr">
        <is>
          <t>BB_PULLBACK_GATE_FILTER_TF</t>
        </is>
      </c>
      <c r="C24" s="0" t="inlineStr">
        <is>
          <t>4h</t>
        </is>
      </c>
      <c r="D24" s="0" t="inlineStr">
        <is>
          <t>Pullback filter — blocks pullback entries unless BB position confirms oversold/bounce on FILTER_TF. | Live read: `_EXHAUSTIVE_FILTER_LIST_LIVE = ['ADAPTIVE_REGIME_DC_BREAKDOWN_THRESHOLD', 'ADAPT`</t>
        </is>
      </c>
      <c r="E24" s="0" t="inlineStr">
        <is>
          <t>GLOBAL_CHECK</t>
        </is>
      </c>
      <c r="F24" s="0" t="inlineStr">
        <is>
          <t>GLOBAL_CHECK</t>
        </is>
      </c>
      <c r="G24" s="0" t="inlineStr">
        <is>
          <t>BB pullback entries</t>
        </is>
      </c>
      <c r="H24" s="0" t="inlineStr">
        <is>
          <t>SPECIFIC — only gated switches</t>
        </is>
      </c>
      <c r="I24" s="0" t="inlineStr">
        <is>
          <t>LIVE — wired</t>
        </is>
      </c>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0" t="n">
        <v>6</v>
      </c>
      <c r="B25" s="0" t="inlineStr">
        <is>
          <t>BB_PULLBACK_GATE_FILTER_TF</t>
        </is>
      </c>
      <c r="C25" s="0" t="inlineStr">
        <is>
          <t>1h</t>
        </is>
      </c>
      <c r="D25" s="0" t="inlineStr">
        <is>
          <t>Pullback filter — blocks pullback entries unless BB position confirms oversold/bounce on FILTER_TF. | Live read: `_EXHAUSTIVE_FILTER_LIST_LIVE = ['ADAPTIVE_REGIME_DC_BREAKDOWN_THRESHOLD', 'ADAPT`</t>
        </is>
      </c>
      <c r="E25" s="0" t="inlineStr">
        <is>
          <t>GLOBAL_CHECK</t>
        </is>
      </c>
      <c r="F25" s="0" t="inlineStr">
        <is>
          <t>GLOBAL_CHECK</t>
        </is>
      </c>
      <c r="G25" s="0" t="inlineStr">
        <is>
          <t>BB pullback entries</t>
        </is>
      </c>
      <c r="H25" s="0" t="inlineStr">
        <is>
          <t>SPECIFIC — only gated switches</t>
        </is>
      </c>
      <c r="I25" s="0" t="inlineStr">
        <is>
          <t>LIVE — wired</t>
        </is>
      </c>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0" t="n">
        <v>6</v>
      </c>
      <c r="B26" s="0" t="inlineStr">
        <is>
          <t>BB_PULLBACK_GATE_FILTER_TF</t>
        </is>
      </c>
      <c r="C26" s="0" t="inlineStr">
        <is>
          <t>15m</t>
        </is>
      </c>
      <c r="D26" s="0" t="inlineStr">
        <is>
          <t>Pullback filter — blocks pullback entries unless BB position confirms oversold/bounce on FILTER_TF. | Live read: `_EXHAUSTIVE_FILTER_LIST_LIVE = ['ADAPTIVE_REGIME_DC_BREAKDOWN_THRESHOLD', 'ADAPT`</t>
        </is>
      </c>
      <c r="E26" s="0" t="inlineStr">
        <is>
          <t>GLOBAL_CHECK</t>
        </is>
      </c>
      <c r="F26" s="0" t="inlineStr">
        <is>
          <t>GLOBAL_CHECK</t>
        </is>
      </c>
      <c r="G26" s="0" t="inlineStr">
        <is>
          <t>BB pullback entries</t>
        </is>
      </c>
      <c r="H26" s="0" t="inlineStr">
        <is>
          <t>SPECIFIC — only gated switches</t>
        </is>
      </c>
      <c r="I26" s="0" t="inlineStr">
        <is>
          <t>LIVE — wired</t>
        </is>
      </c>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0" t="n">
        <v>7</v>
      </c>
      <c r="B27" s="0" t="inlineStr">
        <is>
          <t>BB_RECOVERY_ENTRY_FILTER_TF</t>
        </is>
      </c>
      <c r="C27" s="0" t="inlineStr">
        <is>
          <t>OFF</t>
        </is>
      </c>
      <c r="D27" s="0" t="inlineStr">
        <is>
          <t>Requires BB recovery (price reclaiming mid-band) on FILTER_TF before pullback entry. | Live read: `_EXHAUSTIVE_ENTRY_LIST_LIVE = ['ADAPTIVE_REGIME_DC_BREAKOUT_THRESHOLD', 'BAND_AR`</t>
        </is>
      </c>
      <c r="E27" s="0" t="inlineStr">
        <is>
          <t>GLOBAL_CHECK</t>
        </is>
      </c>
      <c r="F27" s="0" t="inlineStr">
        <is>
          <t>GLOBAL_CHECK</t>
        </is>
      </c>
      <c r="G27" s="0" t="inlineStr">
        <is>
          <t>BB recovery</t>
        </is>
      </c>
      <c r="H27" s="0" t="inlineStr">
        <is>
          <t>SPECIFIC — only gated switches</t>
        </is>
      </c>
      <c r="I27" s="0" t="inlineStr">
        <is>
          <t>LIVE — wired</t>
        </is>
      </c>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0" t="n">
        <v>7</v>
      </c>
      <c r="B28" s="0" t="inlineStr">
        <is>
          <t>BB_RECOVERY_ENTRY_FILTER_TF</t>
        </is>
      </c>
      <c r="C28" s="0" t="inlineStr">
        <is>
          <t>D</t>
        </is>
      </c>
      <c r="D28" s="0" t="inlineStr">
        <is>
          <t>Requires BB recovery (price reclaiming mid-band) on FILTER_TF before pullback entry. | Live read: `_EXHAUSTIVE_ENTRY_LIST_LIVE = ['ADAPTIVE_REGIME_DC_BREAKOUT_THRESHOLD', 'BAND_AR`</t>
        </is>
      </c>
      <c r="E28" s="0" t="inlineStr">
        <is>
          <t>GLOBAL_CHECK</t>
        </is>
      </c>
      <c r="F28" s="0" t="inlineStr">
        <is>
          <t>GLOBAL_CHECK</t>
        </is>
      </c>
      <c r="G28" s="0" t="inlineStr">
        <is>
          <t>BB recovery</t>
        </is>
      </c>
      <c r="H28" s="0" t="inlineStr">
        <is>
          <t>SPECIFIC — only gated switches</t>
        </is>
      </c>
      <c r="I28" s="0" t="inlineStr">
        <is>
          <t>LIVE — wired</t>
        </is>
      </c>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0" t="n">
        <v>7</v>
      </c>
      <c r="B29" s="0" t="inlineStr">
        <is>
          <t>BB_RECOVERY_ENTRY_FILTER_TF</t>
        </is>
      </c>
      <c r="C29" s="0" t="inlineStr">
        <is>
          <t>4h</t>
        </is>
      </c>
      <c r="D29" s="0" t="inlineStr">
        <is>
          <t>Requires BB recovery (price reclaiming mid-band) on FILTER_TF before pullback entry. | Live read: `_EXHAUSTIVE_ENTRY_LIST_LIVE = ['ADAPTIVE_REGIME_DC_BREAKOUT_THRESHOLD', 'BAND_AR`</t>
        </is>
      </c>
      <c r="E29" s="0" t="inlineStr">
        <is>
          <t>GLOBAL_CHECK</t>
        </is>
      </c>
      <c r="F29" s="0" t="inlineStr">
        <is>
          <t>GLOBAL_CHECK</t>
        </is>
      </c>
      <c r="G29" s="0" t="inlineStr">
        <is>
          <t>BB recovery</t>
        </is>
      </c>
      <c r="H29" s="0" t="inlineStr">
        <is>
          <t>SPECIFIC — only gated switches</t>
        </is>
      </c>
      <c r="I29" s="0" t="inlineStr">
        <is>
          <t>LIVE — wired</t>
        </is>
      </c>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0" t="n">
        <v>7</v>
      </c>
      <c r="B30" s="0" t="inlineStr">
        <is>
          <t>BB_RECOVERY_ENTRY_FILTER_TF</t>
        </is>
      </c>
      <c r="C30" s="0" t="inlineStr">
        <is>
          <t>1h</t>
        </is>
      </c>
      <c r="D30" s="0" t="inlineStr">
        <is>
          <t>Requires BB recovery (price reclaiming mid-band) on FILTER_TF before pullback entry. | Live read: `_EXHAUSTIVE_ENTRY_LIST_LIVE = ['ADAPTIVE_REGIME_DC_BREAKOUT_THRESHOLD', 'BAND_AR`</t>
        </is>
      </c>
      <c r="E30" s="0" t="inlineStr">
        <is>
          <t>GLOBAL_CHECK</t>
        </is>
      </c>
      <c r="F30" s="0" t="inlineStr">
        <is>
          <t>GLOBAL_CHECK</t>
        </is>
      </c>
      <c r="G30" s="0" t="inlineStr">
        <is>
          <t>BB recovery</t>
        </is>
      </c>
      <c r="H30" s="0" t="inlineStr">
        <is>
          <t>SPECIFIC — only gated switches</t>
        </is>
      </c>
      <c r="I30" s="0" t="inlineStr">
        <is>
          <t>LIVE — wired</t>
        </is>
      </c>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0" t="n">
        <v>7</v>
      </c>
      <c r="B31" s="0" t="inlineStr">
        <is>
          <t>BB_RECOVERY_ENTRY_FILTER_TF</t>
        </is>
      </c>
      <c r="C31" s="0" t="inlineStr">
        <is>
          <t>15m</t>
        </is>
      </c>
      <c r="D31" s="0" t="inlineStr">
        <is>
          <t>Requires BB recovery (price reclaiming mid-band) on FILTER_TF before pullback entry. | Live read: `_EXHAUSTIVE_ENTRY_LIST_LIVE = ['ADAPTIVE_REGIME_DC_BREAKOUT_THRESHOLD', 'BAND_AR`</t>
        </is>
      </c>
      <c r="E31" s="0" t="inlineStr">
        <is>
          <t>GLOBAL_CHECK</t>
        </is>
      </c>
      <c r="F31" s="0" t="inlineStr">
        <is>
          <t>GLOBAL_CHECK</t>
        </is>
      </c>
      <c r="G31" s="0" t="inlineStr">
        <is>
          <t>BB recovery</t>
        </is>
      </c>
      <c r="H31" s="0" t="inlineStr">
        <is>
          <t>SPECIFIC — only gated switches</t>
        </is>
      </c>
      <c r="I31" s="0" t="inlineStr">
        <is>
          <t>LIVE — wired</t>
        </is>
      </c>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0" t="n">
        <v>8</v>
      </c>
      <c r="B32" s="0" t="inlineStr">
        <is>
          <t>BB_RECOVERY_FILTER_TF</t>
        </is>
      </c>
      <c r="C32" s="0" t="inlineStr">
        <is>
          <t>OFF</t>
        </is>
      </c>
      <c r="D32" s="0" t="inlineStr">
        <is>
          <t>Same as above but generic BB recovery gate (covers both entry &amp; reentry). | Live read: `_EXHAUSTIVE_FILTER_LIST_LIVE = ['ADAPTIVE_REGIME_DC_BREAKDOWN_THRESHOLD', 'ADAPT`</t>
        </is>
      </c>
      <c r="E32" s="0" t="inlineStr">
        <is>
          <t>GLOBAL_CHECK</t>
        </is>
      </c>
      <c r="F32" s="0" t="inlineStr">
        <is>
          <t>GLOBAL_CHECK</t>
        </is>
      </c>
      <c r="G32" s="0" t="inlineStr">
        <is>
          <t>BB recovery</t>
        </is>
      </c>
      <c r="H32" s="0" t="inlineStr">
        <is>
          <t>SPECIFIC — only gated switches</t>
        </is>
      </c>
      <c r="I32" s="0" t="inlineStr">
        <is>
          <t>LIVE — wired</t>
        </is>
      </c>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0" t="n">
        <v>8</v>
      </c>
      <c r="B33" s="0" t="inlineStr">
        <is>
          <t>BB_RECOVERY_FILTER_TF</t>
        </is>
      </c>
      <c r="C33" s="0" t="inlineStr">
        <is>
          <t>D</t>
        </is>
      </c>
      <c r="D33" s="0" t="inlineStr">
        <is>
          <t>Same as above but generic BB recovery gate (covers both entry &amp; reentry). | Live read: `_EXHAUSTIVE_FILTER_LIST_LIVE = ['ADAPTIVE_REGIME_DC_BREAKDOWN_THRESHOLD', 'ADAPT`</t>
        </is>
      </c>
      <c r="E33" s="0" t="inlineStr">
        <is>
          <t>GLOBAL_CHECK</t>
        </is>
      </c>
      <c r="F33" s="0" t="inlineStr">
        <is>
          <t>GLOBAL_CHECK</t>
        </is>
      </c>
      <c r="G33" s="0" t="inlineStr">
        <is>
          <t>BB recovery</t>
        </is>
      </c>
      <c r="H33" s="0" t="inlineStr">
        <is>
          <t>SPECIFIC — only gated switches</t>
        </is>
      </c>
      <c r="I33" s="0" t="inlineStr">
        <is>
          <t>LIVE — wired</t>
        </is>
      </c>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0" t="n">
        <v>8</v>
      </c>
      <c r="B34" s="0" t="inlineStr">
        <is>
          <t>BB_RECOVERY_FILTER_TF</t>
        </is>
      </c>
      <c r="C34" s="0" t="inlineStr">
        <is>
          <t>4h</t>
        </is>
      </c>
      <c r="D34" s="0" t="inlineStr">
        <is>
          <t>Same as above but generic BB recovery gate (covers both entry &amp; reentry). | Live read: `_EXHAUSTIVE_FILTER_LIST_LIVE = ['ADAPTIVE_REGIME_DC_BREAKDOWN_THRESHOLD', 'ADAPT`</t>
        </is>
      </c>
      <c r="E34" s="0" t="inlineStr">
        <is>
          <t>GLOBAL_CHECK</t>
        </is>
      </c>
      <c r="F34" s="0" t="inlineStr">
        <is>
          <t>GLOBAL_CHECK</t>
        </is>
      </c>
      <c r="G34" s="0" t="inlineStr">
        <is>
          <t>BB recovery</t>
        </is>
      </c>
      <c r="H34" s="0" t="inlineStr">
        <is>
          <t>SPECIFIC — only gated switches</t>
        </is>
      </c>
      <c r="I34" s="0" t="inlineStr">
        <is>
          <t>LIVE — wired</t>
        </is>
      </c>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0" t="n">
        <v>8</v>
      </c>
      <c r="B35" s="0" t="inlineStr">
        <is>
          <t>BB_RECOVERY_FILTER_TF</t>
        </is>
      </c>
      <c r="C35" s="0" t="inlineStr">
        <is>
          <t>1h</t>
        </is>
      </c>
      <c r="D35" s="0" t="inlineStr">
        <is>
          <t>Same as above but generic BB recovery gate (covers both entry &amp; reentry). | Live read: `_EXHAUSTIVE_FILTER_LIST_LIVE = ['ADAPTIVE_REGIME_DC_BREAKDOWN_THRESHOLD', 'ADAPT`</t>
        </is>
      </c>
      <c r="E35" s="0" t="inlineStr">
        <is>
          <t>GLOBAL_CHECK</t>
        </is>
      </c>
      <c r="F35" s="0" t="inlineStr">
        <is>
          <t>GLOBAL_CHECK</t>
        </is>
      </c>
      <c r="G35" s="0" t="inlineStr">
        <is>
          <t>BB recovery</t>
        </is>
      </c>
      <c r="H35" s="0" t="inlineStr">
        <is>
          <t>SPECIFIC — only gated switches</t>
        </is>
      </c>
      <c r="I35" s="0" t="inlineStr">
        <is>
          <t>LIVE — wired</t>
        </is>
      </c>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0" t="n">
        <v>8</v>
      </c>
      <c r="B36" s="0" t="inlineStr">
        <is>
          <t>BB_RECOVERY_FILTER_TF</t>
        </is>
      </c>
      <c r="C36" s="0" t="inlineStr">
        <is>
          <t>15m</t>
        </is>
      </c>
      <c r="D36" s="0" t="inlineStr">
        <is>
          <t>Same as above but generic BB recovery gate (covers both entry &amp; reentry). | Live read: `_EXHAUSTIVE_FILTER_LIST_LIVE = ['ADAPTIVE_REGIME_DC_BREAKDOWN_THRESHOLD', 'ADAPT`</t>
        </is>
      </c>
      <c r="E36" s="0" t="inlineStr">
        <is>
          <t>GLOBAL_CHECK</t>
        </is>
      </c>
      <c r="F36" s="0" t="inlineStr">
        <is>
          <t>GLOBAL_CHECK</t>
        </is>
      </c>
      <c r="G36" s="0" t="inlineStr">
        <is>
          <t>BB recovery</t>
        </is>
      </c>
      <c r="H36" s="0" t="inlineStr">
        <is>
          <t>SPECIFIC — only gated switches</t>
        </is>
      </c>
      <c r="I36" s="0" t="inlineStr">
        <is>
          <t>LIVE — wired</t>
        </is>
      </c>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0" t="n">
        <v>9</v>
      </c>
      <c r="B37" s="0" t="inlineStr">
        <is>
          <t>BREAKEVEN_GAIN_EROSION_FILTER_TF</t>
        </is>
      </c>
      <c r="C37" s="0" t="inlineStr">
        <is>
          <t>OFF</t>
        </is>
      </c>
      <c r="D37" s="0" t="inlineStr">
        <is>
          <t>Exit gate: when peak gain erodes toward breakeven, requires FILTER_TF confirmation before closing at breakeven. | Live read: `LOPE_DEADBAND', 'BB4H_BREAKOUT_LADDER_TARGET_USD', 'BB_FROZEN_STOP_FIELD', 'BB_F`</t>
        </is>
      </c>
      <c r="E37" s="0" t="inlineStr">
        <is>
          <t>GLOBAL_CHECK</t>
        </is>
      </c>
      <c r="F37" s="0" t="inlineStr">
        <is>
          <t>GLOBAL_CHECK</t>
        </is>
      </c>
      <c r="G37" s="0" t="inlineStr">
        <is>
          <t>BREAKEVEN_GAIN_EROSION</t>
        </is>
      </c>
      <c r="H37" s="0" t="inlineStr">
        <is>
          <t>SPECIFIC — only gated switches</t>
        </is>
      </c>
      <c r="I37" s="0" t="inlineStr">
        <is>
          <t>LIVE — wired</t>
        </is>
      </c>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0" t="n">
        <v>9</v>
      </c>
      <c r="B38" s="0" t="inlineStr">
        <is>
          <t>BREAKEVEN_GAIN_EROSION_FILTER_TF</t>
        </is>
      </c>
      <c r="C38" s="0" t="inlineStr">
        <is>
          <t>D</t>
        </is>
      </c>
      <c r="D38" s="0" t="inlineStr">
        <is>
          <t>Exit gate: when peak gain erodes toward breakeven, requires FILTER_TF confirmation before closing at breakeven. | Live read: `LOPE_DEADBAND', 'BB4H_BREAKOUT_LADDER_TARGET_USD', 'BB_FROZEN_STOP_FIELD', 'BB_F`</t>
        </is>
      </c>
      <c r="E38" s="0" t="inlineStr">
        <is>
          <t>GLOBAL_CHECK</t>
        </is>
      </c>
      <c r="F38" s="0" t="inlineStr">
        <is>
          <t>GLOBAL_CHECK</t>
        </is>
      </c>
      <c r="G38" s="0" t="inlineStr">
        <is>
          <t>BREAKEVEN_GAIN_EROSION</t>
        </is>
      </c>
      <c r="H38" s="0" t="inlineStr">
        <is>
          <t>SPECIFIC — only gated switches</t>
        </is>
      </c>
      <c r="I38" s="0" t="inlineStr">
        <is>
          <t>LIVE — wired</t>
        </is>
      </c>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0" t="n">
        <v>9</v>
      </c>
      <c r="B39" s="0" t="inlineStr">
        <is>
          <t>BREAKEVEN_GAIN_EROSION_FILTER_TF</t>
        </is>
      </c>
      <c r="C39" s="0" t="inlineStr">
        <is>
          <t>4h</t>
        </is>
      </c>
      <c r="D39" s="0" t="inlineStr">
        <is>
          <t>Exit gate: when peak gain erodes toward breakeven, requires FILTER_TF confirmation before closing at breakeven. | Live read: `LOPE_DEADBAND', 'BB4H_BREAKOUT_LADDER_TARGET_USD', 'BB_FROZEN_STOP_FIELD', 'BB_F`</t>
        </is>
      </c>
      <c r="E39" s="0" t="inlineStr">
        <is>
          <t>GLOBAL_CHECK</t>
        </is>
      </c>
      <c r="F39" s="0" t="inlineStr">
        <is>
          <t>GLOBAL_CHECK</t>
        </is>
      </c>
      <c r="G39" s="0" t="inlineStr">
        <is>
          <t>BREAKEVEN_GAIN_EROSION</t>
        </is>
      </c>
      <c r="H39" s="0" t="inlineStr">
        <is>
          <t>SPECIFIC — only gated switches</t>
        </is>
      </c>
      <c r="I39" s="0" t="inlineStr">
        <is>
          <t>LIVE — wired</t>
        </is>
      </c>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0" t="n">
        <v>9</v>
      </c>
      <c r="B40" s="0" t="inlineStr">
        <is>
          <t>BREAKEVEN_GAIN_EROSION_FILTER_TF</t>
        </is>
      </c>
      <c r="C40" s="0" t="inlineStr">
        <is>
          <t>1h</t>
        </is>
      </c>
      <c r="D40" s="0" t="inlineStr">
        <is>
          <t>Exit gate: when peak gain erodes toward breakeven, requires FILTER_TF confirmation before closing at breakeven. | Live read: `LOPE_DEADBAND', 'BB4H_BREAKOUT_LADDER_TARGET_USD', 'BB_FROZEN_STOP_FIELD', 'BB_F`</t>
        </is>
      </c>
      <c r="E40" s="0" t="inlineStr">
        <is>
          <t>GLOBAL_CHECK</t>
        </is>
      </c>
      <c r="F40" s="0" t="inlineStr">
        <is>
          <t>GLOBAL_CHECK</t>
        </is>
      </c>
      <c r="G40" s="0" t="inlineStr">
        <is>
          <t>BREAKEVEN_GAIN_EROSION</t>
        </is>
      </c>
      <c r="H40" s="0" t="inlineStr">
        <is>
          <t>SPECIFIC — only gated switches</t>
        </is>
      </c>
      <c r="I40" s="0" t="inlineStr">
        <is>
          <t>LIVE — wired</t>
        </is>
      </c>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0" t="n">
        <v>9</v>
      </c>
      <c r="B41" s="0" t="inlineStr">
        <is>
          <t>BREAKEVEN_GAIN_EROSION_FILTER_TF</t>
        </is>
      </c>
      <c r="C41" s="0" t="inlineStr">
        <is>
          <t>15m</t>
        </is>
      </c>
      <c r="D41" s="0" t="inlineStr">
        <is>
          <t>Exit gate: when peak gain erodes toward breakeven, requires FILTER_TF confirmation before closing at breakeven. | Live read: `LOPE_DEADBAND', 'BB4H_BREAKOUT_LADDER_TARGET_USD', 'BB_FROZEN_STOP_FIELD', 'BB_F`</t>
        </is>
      </c>
      <c r="E41" s="0" t="inlineStr">
        <is>
          <t>GLOBAL_CHECK</t>
        </is>
      </c>
      <c r="F41" s="0" t="inlineStr">
        <is>
          <t>GLOBAL_CHECK</t>
        </is>
      </c>
      <c r="G41" s="0" t="inlineStr">
        <is>
          <t>BREAKEVEN_GAIN_EROSION</t>
        </is>
      </c>
      <c r="H41" s="0" t="inlineStr">
        <is>
          <t>SPECIFIC — only gated switches</t>
        </is>
      </c>
      <c r="I41" s="0" t="inlineStr">
        <is>
          <t>LIVE — wired</t>
        </is>
      </c>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0" t="n">
        <v>10</v>
      </c>
      <c r="B42" s="0" t="inlineStr">
        <is>
          <t>BREAKOUT_RETEST_FILTER_TF</t>
        </is>
      </c>
      <c r="C42" s="0" t="inlineStr">
        <is>
          <t>OFF</t>
        </is>
      </c>
      <c r="D42" s="0" t="inlineStr">
        <is>
          <t>Breakout filter: after DC/BB breakout, requires retest hold on FILTER_TF before entry. | Live read: `UM_CHECK_ENABLED', 'BREAKOUT_HTF_MIN_ALIGNED', 'BREAKOUT_INJECT_LIVE', 'BREAKOUT`</t>
        </is>
      </c>
      <c r="E42" s="0" t="inlineStr">
        <is>
          <t>GLOBAL_CHECK</t>
        </is>
      </c>
      <c r="F42" s="0" t="inlineStr">
        <is>
          <t>GLOBAL_CHECK</t>
        </is>
      </c>
      <c r="G42" s="0" t="inlineStr">
        <is>
          <t>Breakout retest</t>
        </is>
      </c>
      <c r="H42" s="0" t="inlineStr">
        <is>
          <t>SPECIFIC — only gated switches</t>
        </is>
      </c>
      <c r="I42" s="0" t="inlineStr">
        <is>
          <t>LIVE — wired</t>
        </is>
      </c>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0" t="n">
        <v>10</v>
      </c>
      <c r="B43" s="0" t="inlineStr">
        <is>
          <t>BREAKOUT_RETEST_FILTER_TF</t>
        </is>
      </c>
      <c r="C43" s="0" t="inlineStr">
        <is>
          <t>D</t>
        </is>
      </c>
      <c r="D43" s="0" t="inlineStr">
        <is>
          <t>Breakout filter: after DC/BB breakout, requires retest hold on FILTER_TF before entry. | Live read: `UM_CHECK_ENABLED', 'BREAKOUT_HTF_MIN_ALIGNED', 'BREAKOUT_INJECT_LIVE', 'BREAKOUT`</t>
        </is>
      </c>
      <c r="E43" s="0" t="inlineStr">
        <is>
          <t>GLOBAL_CHECK</t>
        </is>
      </c>
      <c r="F43" s="0" t="inlineStr">
        <is>
          <t>GLOBAL_CHECK</t>
        </is>
      </c>
      <c r="G43" s="0" t="inlineStr">
        <is>
          <t>Breakout retest</t>
        </is>
      </c>
      <c r="H43" s="0" t="inlineStr">
        <is>
          <t>SPECIFIC — only gated switches</t>
        </is>
      </c>
      <c r="I43" s="0" t="inlineStr">
        <is>
          <t>LIVE — wired</t>
        </is>
      </c>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0" t="n">
        <v>10</v>
      </c>
      <c r="B44" s="0" t="inlineStr">
        <is>
          <t>BREAKOUT_RETEST_FILTER_TF</t>
        </is>
      </c>
      <c r="C44" s="0" t="inlineStr">
        <is>
          <t>4h</t>
        </is>
      </c>
      <c r="D44" s="0" t="inlineStr">
        <is>
          <t>Breakout filter: after DC/BB breakout, requires retest hold on FILTER_TF before entry. | Live read: `UM_CHECK_ENABLED', 'BREAKOUT_HTF_MIN_ALIGNED', 'BREAKOUT_INJECT_LIVE', 'BREAKOUT`</t>
        </is>
      </c>
      <c r="E44" s="0" t="inlineStr">
        <is>
          <t>GLOBAL_CHECK</t>
        </is>
      </c>
      <c r="F44" s="0" t="inlineStr">
        <is>
          <t>GLOBAL_CHECK</t>
        </is>
      </c>
      <c r="G44" s="0" t="inlineStr">
        <is>
          <t>Breakout retest</t>
        </is>
      </c>
      <c r="H44" s="0" t="inlineStr">
        <is>
          <t>SPECIFIC — only gated switches</t>
        </is>
      </c>
      <c r="I44" s="0" t="inlineStr">
        <is>
          <t>LIVE — wired</t>
        </is>
      </c>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0" t="n">
        <v>10</v>
      </c>
      <c r="B45" s="0" t="inlineStr">
        <is>
          <t>BREAKOUT_RETEST_FILTER_TF</t>
        </is>
      </c>
      <c r="C45" s="0" t="inlineStr">
        <is>
          <t>1h</t>
        </is>
      </c>
      <c r="D45" s="0" t="inlineStr">
        <is>
          <t>Breakout filter: after DC/BB breakout, requires retest hold on FILTER_TF before entry. | Live read: `UM_CHECK_ENABLED', 'BREAKOUT_HTF_MIN_ALIGNED', 'BREAKOUT_INJECT_LIVE', 'BREAKOUT`</t>
        </is>
      </c>
      <c r="E45" s="0" t="inlineStr">
        <is>
          <t>GLOBAL_CHECK</t>
        </is>
      </c>
      <c r="F45" s="0" t="inlineStr">
        <is>
          <t>GLOBAL_CHECK</t>
        </is>
      </c>
      <c r="G45" s="0" t="inlineStr">
        <is>
          <t>Breakout retest</t>
        </is>
      </c>
      <c r="H45" s="0" t="inlineStr">
        <is>
          <t>SPECIFIC — only gated switches</t>
        </is>
      </c>
      <c r="I45" s="0" t="inlineStr">
        <is>
          <t>LIVE — wired</t>
        </is>
      </c>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0" t="n">
        <v>10</v>
      </c>
      <c r="B46" s="0" t="inlineStr">
        <is>
          <t>BREAKOUT_RETEST_FILTER_TF</t>
        </is>
      </c>
      <c r="C46" s="0" t="inlineStr">
        <is>
          <t>15m</t>
        </is>
      </c>
      <c r="D46" s="0" t="inlineStr">
        <is>
          <t>Breakout filter: after DC/BB breakout, requires retest hold on FILTER_TF before entry. | Live read: `UM_CHECK_ENABLED', 'BREAKOUT_HTF_MIN_ALIGNED', 'BREAKOUT_INJECT_LIVE', 'BREAKOUT`</t>
        </is>
      </c>
      <c r="E46" s="0" t="inlineStr">
        <is>
          <t>GLOBAL_CHECK</t>
        </is>
      </c>
      <c r="F46" s="0" t="inlineStr">
        <is>
          <t>GLOBAL_CHECK</t>
        </is>
      </c>
      <c r="G46" s="0" t="inlineStr">
        <is>
          <t>Breakout retest</t>
        </is>
      </c>
      <c r="H46" s="0" t="inlineStr">
        <is>
          <t>SPECIFIC — only gated switches</t>
        </is>
      </c>
      <c r="I46" s="0" t="inlineStr">
        <is>
          <t>LIVE — wired</t>
        </is>
      </c>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0" t="n">
        <v>11</v>
      </c>
      <c r="B47" s="0" t="inlineStr">
        <is>
          <t>BTC_ACCEL_RAMP_REQUIRE_POSITIVE</t>
        </is>
      </c>
      <c r="C47" s="0" t="inlineStr">
        <is>
          <t>0.0</t>
        </is>
      </c>
      <c r="D47"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0" t="inlineStr">
        <is>
          <t>UNIVERSAL (ex-BTC) — ENTRY/EXIT/REENTRY</t>
        </is>
      </c>
      <c r="F47" s="0" t="inlineStr">
        <is>
          <t>UNIVERSAL (ex-BTC) — ENTRY/EXIT/REENTRY</t>
        </is>
      </c>
      <c r="G47" s="0" t="inlineStr">
        <is>
          <t>Accel ramp (UNIVERSAL) — UNIVERSAL</t>
        </is>
      </c>
      <c r="H47" s="0" t="inlineStr">
        <is>
          <t>GENERAL</t>
        </is>
      </c>
      <c r="I47" s="0" t="inlineStr">
        <is>
          <t>LIVE — UNIVERSAL (ex-BTC)</t>
        </is>
      </c>
      <c r="J47" s="0"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0" t="n">
        <v>11</v>
      </c>
      <c r="B48" s="0" t="inlineStr">
        <is>
          <t>BTC_ACCEL_RAMP_REQUIRE_POSITIVE</t>
        </is>
      </c>
      <c r="C48" s="0" t="inlineStr">
        <is>
          <t>0.0_ALT</t>
        </is>
      </c>
      <c r="D48"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0" t="inlineStr">
        <is>
          <t>UNIVERSAL (ex-BTC) — ENTRY/EXIT/REENTRY</t>
        </is>
      </c>
      <c r="F48" s="0" t="inlineStr">
        <is>
          <t>UNIVERSAL (ex-BTC) — ENTRY/EXIT/REENTRY</t>
        </is>
      </c>
      <c r="G48" s="0" t="inlineStr">
        <is>
          <t>Accel ramp (UNIVERSAL) — UNIVERSAL</t>
        </is>
      </c>
      <c r="H48" s="0" t="inlineStr">
        <is>
          <t>GENERAL</t>
        </is>
      </c>
      <c r="I48" s="0" t="inlineStr">
        <is>
          <t>LIVE — UNIVERSAL (ex-BTC)</t>
        </is>
      </c>
      <c r="J48" s="0"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0" t="n">
        <v>12</v>
      </c>
      <c r="B49" s="0" t="inlineStr">
        <is>
          <t>BTC_DEDICATED_FILTER_TF</t>
        </is>
      </c>
      <c r="C49" s="0" t="inlineStr">
        <is>
          <t>OFF</t>
        </is>
      </c>
      <c r="D49" s="0" t="inlineStr">
        <is>
          <t>UNIVERSAL gate (BTCUSDC/BTCUSDT) — requires dedicated BTC momentum alignment. | Live read: `_EXHAUSTIVE_FILTER_LIST_LIVE = ['ADAPTIVE_REGIME_DC_BREAKDOWN_THRESHOLD', 'ADAPT` | UNIVERSAL per 2026-08-28 — applies to ALL symbols, not BTC-only.</t>
        </is>
      </c>
      <c r="E49" s="0" t="inlineStr">
        <is>
          <t>UNIVERSAL (ex-BTC) — ENTRY/EXIT/REENTRY</t>
        </is>
      </c>
      <c r="F49" s="0" t="inlineStr">
        <is>
          <t>UNIVERSAL (ex-BTC) — ENTRY/EXIT/REENTRY</t>
        </is>
      </c>
      <c r="G49" s="0" t="inlineStr">
        <is>
          <t>Dedicated (UNIVERSAL) — UNIVERSAL</t>
        </is>
      </c>
      <c r="H49" s="0" t="inlineStr">
        <is>
          <t>SPECIFIC — only gated switches</t>
        </is>
      </c>
      <c r="I49" s="0" t="inlineStr">
        <is>
          <t>LIVE — UNIVERSAL (ex-BTC)</t>
        </is>
      </c>
      <c r="J49" s="0"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0" t="n">
        <v>12</v>
      </c>
      <c r="B50" s="0" t="inlineStr">
        <is>
          <t>BTC_DEDICATED_FILTER_TF</t>
        </is>
      </c>
      <c r="C50" s="0" t="inlineStr">
        <is>
          <t>D</t>
        </is>
      </c>
      <c r="D50" s="0" t="inlineStr">
        <is>
          <t>UNIVERSAL gate (BTCUSDC/BTCUSDT) — requires dedicated BTC momentum alignment. | Live read: `_EXHAUSTIVE_FILTER_LIST_LIVE = ['ADAPTIVE_REGIME_DC_BREAKDOWN_THRESHOLD', 'ADAPT` | UNIVERSAL per 2026-08-28 — applies to ALL symbols, not BTC-only.</t>
        </is>
      </c>
      <c r="E50" s="0" t="inlineStr">
        <is>
          <t>UNIVERSAL (ex-BTC) — ENTRY/EXIT/REENTRY</t>
        </is>
      </c>
      <c r="F50" s="0" t="inlineStr">
        <is>
          <t>UNIVERSAL (ex-BTC) — ENTRY/EXIT/REENTRY</t>
        </is>
      </c>
      <c r="G50" s="0" t="inlineStr">
        <is>
          <t>Dedicated (UNIVERSAL) — UNIVERSAL</t>
        </is>
      </c>
      <c r="H50" s="0" t="inlineStr">
        <is>
          <t>SPECIFIC — only gated switches</t>
        </is>
      </c>
      <c r="I50" s="0" t="inlineStr">
        <is>
          <t>LIVE — UNIVERSAL (ex-BTC)</t>
        </is>
      </c>
      <c r="J50" s="0"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0" t="n">
        <v>12</v>
      </c>
      <c r="B51" s="0" t="inlineStr">
        <is>
          <t>BTC_DEDICATED_FILTER_TF</t>
        </is>
      </c>
      <c r="C51" s="0" t="inlineStr">
        <is>
          <t>4h</t>
        </is>
      </c>
      <c r="D51" s="0" t="inlineStr">
        <is>
          <t>UNIVERSAL gate (BTCUSDC/BTCUSDT) — requires dedicated BTC momentum alignment. | Live read: `_EXHAUSTIVE_FILTER_LIST_LIVE = ['ADAPTIVE_REGIME_DC_BREAKDOWN_THRESHOLD', 'ADAPT` | UNIVERSAL per 2026-08-28 — applies to ALL symbols, not BTC-only.</t>
        </is>
      </c>
      <c r="E51" s="0" t="inlineStr">
        <is>
          <t>UNIVERSAL (ex-BTC) — ENTRY/EXIT/REENTRY</t>
        </is>
      </c>
      <c r="F51" s="0" t="inlineStr">
        <is>
          <t>UNIVERSAL (ex-BTC) — ENTRY/EXIT/REENTRY</t>
        </is>
      </c>
      <c r="G51" s="0" t="inlineStr">
        <is>
          <t>Dedicated (UNIVERSAL) — UNIVERSAL</t>
        </is>
      </c>
      <c r="H51" s="0" t="inlineStr">
        <is>
          <t>SPECIFIC — only gated switches</t>
        </is>
      </c>
      <c r="I51" s="0" t="inlineStr">
        <is>
          <t>LIVE — UNIVERSAL (ex-BTC)</t>
        </is>
      </c>
      <c r="J51" s="0"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0" t="n">
        <v>12</v>
      </c>
      <c r="B52" s="0" t="inlineStr">
        <is>
          <t>BTC_DEDICATED_FILTER_TF</t>
        </is>
      </c>
      <c r="C52" s="0" t="inlineStr">
        <is>
          <t>1h</t>
        </is>
      </c>
      <c r="D52" s="0" t="inlineStr">
        <is>
          <t>UNIVERSAL gate (BTCUSDC/BTCUSDT) — requires dedicated BTC momentum alignment. | Live read: `_EXHAUSTIVE_FILTER_LIST_LIVE = ['ADAPTIVE_REGIME_DC_BREAKDOWN_THRESHOLD', 'ADAPT` | UNIVERSAL per 2026-08-28 — applies to ALL symbols, not BTC-only.</t>
        </is>
      </c>
      <c r="E52" s="0" t="inlineStr">
        <is>
          <t>UNIVERSAL (ex-BTC) — ENTRY/EXIT/REENTRY</t>
        </is>
      </c>
      <c r="F52" s="0" t="inlineStr">
        <is>
          <t>UNIVERSAL (ex-BTC) — ENTRY/EXIT/REENTRY</t>
        </is>
      </c>
      <c r="G52" s="0" t="inlineStr">
        <is>
          <t>Dedicated (UNIVERSAL) — UNIVERSAL</t>
        </is>
      </c>
      <c r="H52" s="0" t="inlineStr">
        <is>
          <t>SPECIFIC — only gated switches</t>
        </is>
      </c>
      <c r="I52" s="0" t="inlineStr">
        <is>
          <t>LIVE — UNIVERSAL (ex-BTC)</t>
        </is>
      </c>
      <c r="J52" s="0"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0" t="n">
        <v>12</v>
      </c>
      <c r="B53" s="0" t="inlineStr">
        <is>
          <t>BTC_DEDICATED_FILTER_TF</t>
        </is>
      </c>
      <c r="C53" s="0" t="inlineStr">
        <is>
          <t>15m</t>
        </is>
      </c>
      <c r="D53" s="0" t="inlineStr">
        <is>
          <t>UNIVERSAL gate (BTCUSDC/BTCUSDT) — requires dedicated BTC momentum alignment. | Live read: `_EXHAUSTIVE_FILTER_LIST_LIVE = ['ADAPTIVE_REGIME_DC_BREAKDOWN_THRESHOLD', 'ADAPT` | UNIVERSAL per 2026-08-28 — applies to ALL symbols, not BTC-only.</t>
        </is>
      </c>
      <c r="E53" s="0" t="inlineStr">
        <is>
          <t>UNIVERSAL (ex-BTC) — ENTRY/EXIT/REENTRY</t>
        </is>
      </c>
      <c r="F53" s="0" t="inlineStr">
        <is>
          <t>UNIVERSAL (ex-BTC) — ENTRY/EXIT/REENTRY</t>
        </is>
      </c>
      <c r="G53" s="0" t="inlineStr">
        <is>
          <t>Dedicated (UNIVERSAL) — UNIVERSAL</t>
        </is>
      </c>
      <c r="H53" s="0" t="inlineStr">
        <is>
          <t>SPECIFIC — only gated switches</t>
        </is>
      </c>
      <c r="I53" s="0" t="inlineStr">
        <is>
          <t>LIVE — UNIVERSAL (ex-BTC)</t>
        </is>
      </c>
      <c r="J53" s="0"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0" t="n">
        <v>13</v>
      </c>
      <c r="B54" s="0" t="inlineStr">
        <is>
          <t>BTC_HARD_BLOCK_OTHER_ACCOUNTS</t>
        </is>
      </c>
      <c r="C54" s="0" t="inlineStr">
        <is>
          <t>0.0</t>
        </is>
      </c>
      <c r="D54" s="0" t="inlineStr">
        <is>
          <t>Global kill: when BTC regime is adverse, blocks non-BTC accounts. | Live read: `_EXHAUSTIVE_FILTER_LIST_LIVE = ['ADAPTIVE_REGIME_DC_BREAKDOWN_THRESHOLD', 'ADAPT` | UNIVERSAL per 2026-08-28 — applies to ALL symbols, not BTC-only.</t>
        </is>
      </c>
      <c r="E54" s="0" t="inlineStr">
        <is>
          <t>UNIVERSAL (ex-BTC) — ENTRY/EXIT/REENTRY</t>
        </is>
      </c>
      <c r="F54" s="0" t="inlineStr">
        <is>
          <t>UNIVERSAL (ex-BTC) — ENTRY/EXIT/REENTRY</t>
        </is>
      </c>
      <c r="G54" s="0" t="inlineStr">
        <is>
          <t>Global block (UNIVERSAL) — UNIVERSAL</t>
        </is>
      </c>
      <c r="H54" s="0" t="inlineStr">
        <is>
          <t>GENERAL</t>
        </is>
      </c>
      <c r="I54" s="0" t="inlineStr">
        <is>
          <t>LIVE — UNIVERSAL (ex-BTC)</t>
        </is>
      </c>
      <c r="J54" s="0"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0" t="n">
        <v>13</v>
      </c>
      <c r="B55" s="0" t="inlineStr">
        <is>
          <t>BTC_HARD_BLOCK_OTHER_ACCOUNTS</t>
        </is>
      </c>
      <c r="C55" s="0" t="inlineStr">
        <is>
          <t>0.0_ALT</t>
        </is>
      </c>
      <c r="D55" s="0" t="inlineStr">
        <is>
          <t>Global kill: when BTC regime is adverse, blocks non-BTC accounts. | Live read: `_EXHAUSTIVE_FILTER_LIST_LIVE = ['ADAPTIVE_REGIME_DC_BREAKDOWN_THRESHOLD', 'ADAPT` | UNIVERSAL per 2026-08-28 — applies to ALL symbols, not BTC-only.</t>
        </is>
      </c>
      <c r="E55" s="0" t="inlineStr">
        <is>
          <t>UNIVERSAL (ex-BTC) — ENTRY/EXIT/REENTRY</t>
        </is>
      </c>
      <c r="F55" s="0" t="inlineStr">
        <is>
          <t>UNIVERSAL (ex-BTC) — ENTRY/EXIT/REENTRY</t>
        </is>
      </c>
      <c r="G55" s="0" t="inlineStr">
        <is>
          <t>Global block (UNIVERSAL) — UNIVERSAL</t>
        </is>
      </c>
      <c r="H55" s="0" t="inlineStr">
        <is>
          <t>GENERAL</t>
        </is>
      </c>
      <c r="I55" s="0" t="inlineStr">
        <is>
          <t>LIVE — UNIVERSAL (ex-BTC)</t>
        </is>
      </c>
      <c r="J55" s="0"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0" t="n">
        <v>14</v>
      </c>
      <c r="B56" s="0" t="inlineStr">
        <is>
          <t>BTC_ROUND_BANDS_EACH_SIDE</t>
        </is>
      </c>
      <c r="C56" s="0" t="inlineStr">
        <is>
          <t>0.0</t>
        </is>
      </c>
      <c r="D56" s="0" t="inlineStr">
        <is>
          <t>Risk shape: round bands per side for BTC sizing. | Live read: `_EXHAUSTIVE_FILTER_LIST_LIVE = ['ADAPTIVE_REGIME_DC_BREAKDOWN_THRESHOLD', 'ADAPT` | UNIVERSAL per 2026-08-28 — applies to ALL symbols, not BTC-only.</t>
        </is>
      </c>
      <c r="E56" s="0" t="inlineStr">
        <is>
          <t>UNIVERSAL (ex-BTC) — ENTRY/EXIT/REENTRY</t>
        </is>
      </c>
      <c r="F56" s="0" t="inlineStr">
        <is>
          <t>UNIVERSAL (ex-BTC) — ENTRY/EXIT/REENTRY</t>
        </is>
      </c>
      <c r="G56" s="0" t="inlineStr">
        <is>
          <t>Band sizing (UNIVERSAL) — UNIVERSAL</t>
        </is>
      </c>
      <c r="H56" s="0" t="inlineStr">
        <is>
          <t>GENERAL</t>
        </is>
      </c>
      <c r="I56" s="0" t="inlineStr">
        <is>
          <t>LIVE — UNIVERSAL (ex-BTC)</t>
        </is>
      </c>
      <c r="J56" s="0"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0" t="n">
        <v>14</v>
      </c>
      <c r="B57" s="0" t="inlineStr">
        <is>
          <t>BTC_ROUND_BANDS_EACH_SIDE</t>
        </is>
      </c>
      <c r="C57" s="0" t="inlineStr">
        <is>
          <t>0.0_ALT</t>
        </is>
      </c>
      <c r="D57" s="0" t="inlineStr">
        <is>
          <t>Risk shape: round bands per side for BTC sizing. | Live read: `_EXHAUSTIVE_FILTER_LIST_LIVE = ['ADAPTIVE_REGIME_DC_BREAKDOWN_THRESHOLD', 'ADAPT` | UNIVERSAL per 2026-08-28 — applies to ALL symbols, not BTC-only.</t>
        </is>
      </c>
      <c r="E57" s="0" t="inlineStr">
        <is>
          <t>UNIVERSAL (ex-BTC) — ENTRY/EXIT/REENTRY</t>
        </is>
      </c>
      <c r="F57" s="0" t="inlineStr">
        <is>
          <t>UNIVERSAL (ex-BTC) — ENTRY/EXIT/REENTRY</t>
        </is>
      </c>
      <c r="G57" s="0" t="inlineStr">
        <is>
          <t>Band sizing (UNIVERSAL) — UNIVERSAL</t>
        </is>
      </c>
      <c r="H57" s="0" t="inlineStr">
        <is>
          <t>GENERAL</t>
        </is>
      </c>
      <c r="I57" s="0" t="inlineStr">
        <is>
          <t>LIVE — UNIVERSAL (ex-BTC)</t>
        </is>
      </c>
      <c r="J57" s="0"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0" t="n">
        <v>15</v>
      </c>
      <c r="B58" s="0" t="inlineStr">
        <is>
          <t>BT_WT_CROSS_LADDER_FILTER_TF</t>
        </is>
      </c>
      <c r="C58" s="0" t="inlineStr">
        <is>
          <t>OFF</t>
        </is>
      </c>
      <c r="D58" s="0" t="inlineStr">
        <is>
          <t>WT cross ladder confirmation on FILTER_TF. | Live read: `_EXHAUSTIVE_FILTER_LIST_LIVE = ['ADAPTIVE_REGIME_DC_BREAKDOWN_THRESHOLD', 'ADAPT`</t>
        </is>
      </c>
      <c r="E58" s="0" t="inlineStr">
        <is>
          <t>GLOBAL_CHECK</t>
        </is>
      </c>
      <c r="F58" s="0" t="inlineStr">
        <is>
          <t>GLOBAL_CHECK</t>
        </is>
      </c>
      <c r="G58" s="0" t="inlineStr">
        <is>
          <t>BT_WT_CROSS_LADDER</t>
        </is>
      </c>
      <c r="H58" s="0" t="inlineStr">
        <is>
          <t>SPECIFIC — only gated switches</t>
        </is>
      </c>
      <c r="I58" s="0" t="inlineStr">
        <is>
          <t>LIVE — wired</t>
        </is>
      </c>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0" t="n">
        <v>15</v>
      </c>
      <c r="B59" s="0" t="inlineStr">
        <is>
          <t>BT_WT_CROSS_LADDER_FILTER_TF</t>
        </is>
      </c>
      <c r="C59" s="0" t="inlineStr">
        <is>
          <t>D</t>
        </is>
      </c>
      <c r="D59" s="0" t="inlineStr">
        <is>
          <t>WT cross ladder confirmation on FILTER_TF. | Live read: `_EXHAUSTIVE_FILTER_LIST_LIVE = ['ADAPTIVE_REGIME_DC_BREAKDOWN_THRESHOLD', 'ADAPT`</t>
        </is>
      </c>
      <c r="E59" s="0" t="inlineStr">
        <is>
          <t>GLOBAL_CHECK</t>
        </is>
      </c>
      <c r="F59" s="0" t="inlineStr">
        <is>
          <t>GLOBAL_CHECK</t>
        </is>
      </c>
      <c r="G59" s="0" t="inlineStr">
        <is>
          <t>BT_WT_CROSS_LADDER</t>
        </is>
      </c>
      <c r="H59" s="0" t="inlineStr">
        <is>
          <t>SPECIFIC — only gated switches</t>
        </is>
      </c>
      <c r="I59" s="0" t="inlineStr">
        <is>
          <t>LIVE — wired</t>
        </is>
      </c>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0" t="n">
        <v>15</v>
      </c>
      <c r="B60" s="0" t="inlineStr">
        <is>
          <t>BT_WT_CROSS_LADDER_FILTER_TF</t>
        </is>
      </c>
      <c r="C60" s="0" t="inlineStr">
        <is>
          <t>4h</t>
        </is>
      </c>
      <c r="D60" s="0" t="inlineStr">
        <is>
          <t>WT cross ladder confirmation on FILTER_TF. | Live read: `_EXHAUSTIVE_FILTER_LIST_LIVE = ['ADAPTIVE_REGIME_DC_BREAKDOWN_THRESHOLD', 'ADAPT`</t>
        </is>
      </c>
      <c r="E60" s="0" t="inlineStr">
        <is>
          <t>GLOBAL_CHECK</t>
        </is>
      </c>
      <c r="F60" s="0" t="inlineStr">
        <is>
          <t>GLOBAL_CHECK</t>
        </is>
      </c>
      <c r="G60" s="0" t="inlineStr">
        <is>
          <t>BT_WT_CROSS_LADDER</t>
        </is>
      </c>
      <c r="H60" s="0" t="inlineStr">
        <is>
          <t>SPECIFIC — only gated switches</t>
        </is>
      </c>
      <c r="I60" s="0" t="inlineStr">
        <is>
          <t>LIVE — wired</t>
        </is>
      </c>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0" t="n">
        <v>15</v>
      </c>
      <c r="B61" s="0" t="inlineStr">
        <is>
          <t>BT_WT_CROSS_LADDER_FILTER_TF</t>
        </is>
      </c>
      <c r="C61" s="0" t="inlineStr">
        <is>
          <t>1h</t>
        </is>
      </c>
      <c r="D61" s="0" t="inlineStr">
        <is>
          <t>WT cross ladder confirmation on FILTER_TF. | Live read: `_EXHAUSTIVE_FILTER_LIST_LIVE = ['ADAPTIVE_REGIME_DC_BREAKDOWN_THRESHOLD', 'ADAPT`</t>
        </is>
      </c>
      <c r="E61" s="0" t="inlineStr">
        <is>
          <t>GLOBAL_CHECK</t>
        </is>
      </c>
      <c r="F61" s="0" t="inlineStr">
        <is>
          <t>GLOBAL_CHECK</t>
        </is>
      </c>
      <c r="G61" s="0" t="inlineStr">
        <is>
          <t>BT_WT_CROSS_LADDER</t>
        </is>
      </c>
      <c r="H61" s="0" t="inlineStr">
        <is>
          <t>SPECIFIC — only gated switches</t>
        </is>
      </c>
      <c r="I61" s="0" t="inlineStr">
        <is>
          <t>LIVE — wired</t>
        </is>
      </c>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0" t="n">
        <v>15</v>
      </c>
      <c r="B62" s="0" t="inlineStr">
        <is>
          <t>BT_WT_CROSS_LADDER_FILTER_TF</t>
        </is>
      </c>
      <c r="C62" s="0" t="inlineStr">
        <is>
          <t>15m</t>
        </is>
      </c>
      <c r="D62" s="0" t="inlineStr">
        <is>
          <t>WT cross ladder confirmation on FILTER_TF. | Live read: `_EXHAUSTIVE_FILTER_LIST_LIVE = ['ADAPTIVE_REGIME_DC_BREAKDOWN_THRESHOLD', 'ADAPT`</t>
        </is>
      </c>
      <c r="E62" s="0" t="inlineStr">
        <is>
          <t>GLOBAL_CHECK</t>
        </is>
      </c>
      <c r="F62" s="0" t="inlineStr">
        <is>
          <t>GLOBAL_CHECK</t>
        </is>
      </c>
      <c r="G62" s="0" t="inlineStr">
        <is>
          <t>BT_WT_CROSS_LADDER</t>
        </is>
      </c>
      <c r="H62" s="0" t="inlineStr">
        <is>
          <t>SPECIFIC — only gated switches</t>
        </is>
      </c>
      <c r="I62" s="0" t="inlineStr">
        <is>
          <t>LIVE — wired</t>
        </is>
      </c>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0" t="n">
        <v>16</v>
      </c>
      <c r="B63" s="0" t="inlineStr">
        <is>
          <t>CANDLE_PATTERN_STOPS_FILTER_TF</t>
        </is>
      </c>
      <c r="C63" s="0" t="inlineStr">
        <is>
          <t>OFF</t>
        </is>
      </c>
      <c r="D63" s="0" t="inlineStr">
        <is>
          <t>Exit stops driven by candle patterns; FILTER_TF selects confirmation TF. | Live read: `QUIRE_WT_3M_AND_1H', 'BTC_HEDGE_SAMESYM_ENABLED', 'BTC_HEDGE_SAMESYM_HEDGE_HARD_`</t>
        </is>
      </c>
      <c r="E63" s="0" t="inlineStr">
        <is>
          <t>GLOBAL_CHECK</t>
        </is>
      </c>
      <c r="F63" s="0" t="inlineStr">
        <is>
          <t>GLOBAL_CHECK</t>
        </is>
      </c>
      <c r="G63" s="0" t="inlineStr">
        <is>
          <t>CANDLE_PATTERN_STOPS</t>
        </is>
      </c>
      <c r="H63" s="0" t="inlineStr">
        <is>
          <t>SPECIFIC — only gated switches</t>
        </is>
      </c>
      <c r="I63" s="0" t="inlineStr">
        <is>
          <t>LIVE — wired</t>
        </is>
      </c>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0" t="n">
        <v>16</v>
      </c>
      <c r="B64" s="0" t="inlineStr">
        <is>
          <t>CANDLE_PATTERN_STOPS_FILTER_TF</t>
        </is>
      </c>
      <c r="C64" s="0" t="inlineStr">
        <is>
          <t>D</t>
        </is>
      </c>
      <c r="D64" s="0" t="inlineStr">
        <is>
          <t>Exit stops driven by candle patterns; FILTER_TF selects confirmation TF. | Live read: `QUIRE_WT_3M_AND_1H', 'BTC_HEDGE_SAMESYM_ENABLED', 'BTC_HEDGE_SAMESYM_HEDGE_HARD_`</t>
        </is>
      </c>
      <c r="E64" s="0" t="inlineStr">
        <is>
          <t>GLOBAL_CHECK</t>
        </is>
      </c>
      <c r="F64" s="0" t="inlineStr">
        <is>
          <t>GLOBAL_CHECK</t>
        </is>
      </c>
      <c r="G64" s="0" t="inlineStr">
        <is>
          <t>CANDLE_PATTERN_STOPS</t>
        </is>
      </c>
      <c r="H64" s="0" t="inlineStr">
        <is>
          <t>SPECIFIC — only gated switches</t>
        </is>
      </c>
      <c r="I64" s="0" t="inlineStr">
        <is>
          <t>LIVE — wired</t>
        </is>
      </c>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0" t="n">
        <v>16</v>
      </c>
      <c r="B65" s="0" t="inlineStr">
        <is>
          <t>CANDLE_PATTERN_STOPS_FILTER_TF</t>
        </is>
      </c>
      <c r="C65" s="0" t="inlineStr">
        <is>
          <t>4h</t>
        </is>
      </c>
      <c r="D65" s="0" t="inlineStr">
        <is>
          <t>Exit stops driven by candle patterns; FILTER_TF selects confirmation TF. | Live read: `QUIRE_WT_3M_AND_1H', 'BTC_HEDGE_SAMESYM_ENABLED', 'BTC_HEDGE_SAMESYM_HEDGE_HARD_`</t>
        </is>
      </c>
      <c r="E65" s="0" t="inlineStr">
        <is>
          <t>GLOBAL_CHECK</t>
        </is>
      </c>
      <c r="F65" s="0" t="inlineStr">
        <is>
          <t>GLOBAL_CHECK</t>
        </is>
      </c>
      <c r="G65" s="0" t="inlineStr">
        <is>
          <t>CANDLE_PATTERN_STOPS</t>
        </is>
      </c>
      <c r="H65" s="0" t="inlineStr">
        <is>
          <t>SPECIFIC — only gated switches</t>
        </is>
      </c>
      <c r="I65" s="0" t="inlineStr">
        <is>
          <t>LIVE — wired</t>
        </is>
      </c>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0" t="n">
        <v>16</v>
      </c>
      <c r="B66" s="0" t="inlineStr">
        <is>
          <t>CANDLE_PATTERN_STOPS_FILTER_TF</t>
        </is>
      </c>
      <c r="C66" s="0" t="inlineStr">
        <is>
          <t>1h</t>
        </is>
      </c>
      <c r="D66" s="0" t="inlineStr">
        <is>
          <t>Exit stops driven by candle patterns; FILTER_TF selects confirmation TF. | Live read: `QUIRE_WT_3M_AND_1H', 'BTC_HEDGE_SAMESYM_ENABLED', 'BTC_HEDGE_SAMESYM_HEDGE_HARD_`</t>
        </is>
      </c>
      <c r="E66" s="0" t="inlineStr">
        <is>
          <t>GLOBAL_CHECK</t>
        </is>
      </c>
      <c r="F66" s="0" t="inlineStr">
        <is>
          <t>GLOBAL_CHECK</t>
        </is>
      </c>
      <c r="G66" s="0" t="inlineStr">
        <is>
          <t>CANDLE_PATTERN_STOPS</t>
        </is>
      </c>
      <c r="H66" s="0" t="inlineStr">
        <is>
          <t>SPECIFIC — only gated switches</t>
        </is>
      </c>
      <c r="I66" s="0" t="inlineStr">
        <is>
          <t>LIVE — wired</t>
        </is>
      </c>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0" t="n">
        <v>16</v>
      </c>
      <c r="B67" s="0" t="inlineStr">
        <is>
          <t>CANDLE_PATTERN_STOPS_FILTER_TF</t>
        </is>
      </c>
      <c r="C67" s="0" t="inlineStr">
        <is>
          <t>15m</t>
        </is>
      </c>
      <c r="D67" s="0" t="inlineStr">
        <is>
          <t>Exit stops driven by candle patterns; FILTER_TF selects confirmation TF. | Live read: `QUIRE_WT_3M_AND_1H', 'BTC_HEDGE_SAMESYM_ENABLED', 'BTC_HEDGE_SAMESYM_HEDGE_HARD_`</t>
        </is>
      </c>
      <c r="E67" s="0" t="inlineStr">
        <is>
          <t>GLOBAL_CHECK</t>
        </is>
      </c>
      <c r="F67" s="0" t="inlineStr">
        <is>
          <t>GLOBAL_CHECK</t>
        </is>
      </c>
      <c r="G67" s="0" t="inlineStr">
        <is>
          <t>CANDLE_PATTERN_STOPS</t>
        </is>
      </c>
      <c r="H67" s="0" t="inlineStr">
        <is>
          <t>SPECIFIC — only gated switches</t>
        </is>
      </c>
      <c r="I67" s="0" t="inlineStr">
        <is>
          <t>LIVE — wired</t>
        </is>
      </c>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0" t="n">
        <v>17</v>
      </c>
      <c r="B68" s="0" t="inlineStr">
        <is>
          <t>CIRCUIT_SHARPE_GATES_FILTER_TF</t>
        </is>
      </c>
      <c r="C68" s="0" t="inlineStr">
        <is>
          <t>OFF</t>
        </is>
      </c>
      <c r="D68" s="0" t="inlineStr">
        <is>
          <t>Circuit breaker gated by rolling Sharpe on FILTER_TF. | Live read: `THRESHOLD', 'ADAPTIVE_REGIME_DECAY_HALFLIFE_H', 'ADAPTIVE_REGIME_HEAT_TRIGGER', `</t>
        </is>
      </c>
      <c r="E68" s="0" t="inlineStr">
        <is>
          <t>GLOBAL_CHECK</t>
        </is>
      </c>
      <c r="F68" s="0" t="inlineStr">
        <is>
          <t>GLOBAL_CHECK</t>
        </is>
      </c>
      <c r="G68" s="0" t="inlineStr">
        <is>
          <t>CIRCUIT_SHARPE_GATES</t>
        </is>
      </c>
      <c r="H68" s="0" t="inlineStr">
        <is>
          <t>SPECIFIC — only gated switches</t>
        </is>
      </c>
      <c r="I68" s="0" t="inlineStr">
        <is>
          <t>LIVE — wired</t>
        </is>
      </c>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0" t="n">
        <v>17</v>
      </c>
      <c r="B69" s="0" t="inlineStr">
        <is>
          <t>CIRCUIT_SHARPE_GATES_FILTER_TF</t>
        </is>
      </c>
      <c r="C69" s="0" t="inlineStr">
        <is>
          <t>D</t>
        </is>
      </c>
      <c r="D69" s="0" t="inlineStr">
        <is>
          <t>Circuit breaker gated by rolling Sharpe on FILTER_TF. | Live read: `THRESHOLD', 'ADAPTIVE_REGIME_DECAY_HALFLIFE_H', 'ADAPTIVE_REGIME_HEAT_TRIGGER', `</t>
        </is>
      </c>
      <c r="E69" s="0" t="inlineStr">
        <is>
          <t>GLOBAL_CHECK</t>
        </is>
      </c>
      <c r="F69" s="0" t="inlineStr">
        <is>
          <t>GLOBAL_CHECK</t>
        </is>
      </c>
      <c r="G69" s="0" t="inlineStr">
        <is>
          <t>CIRCUIT_SHARPE_GATES</t>
        </is>
      </c>
      <c r="H69" s="0" t="inlineStr">
        <is>
          <t>SPECIFIC — only gated switches</t>
        </is>
      </c>
      <c r="I69" s="0" t="inlineStr">
        <is>
          <t>LIVE — wired</t>
        </is>
      </c>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0" t="n">
        <v>17</v>
      </c>
      <c r="B70" s="0" t="inlineStr">
        <is>
          <t>CIRCUIT_SHARPE_GATES_FILTER_TF</t>
        </is>
      </c>
      <c r="C70" s="0" t="inlineStr">
        <is>
          <t>4h</t>
        </is>
      </c>
      <c r="D70" s="0" t="inlineStr">
        <is>
          <t>Circuit breaker gated by rolling Sharpe on FILTER_TF. | Live read: `THRESHOLD', 'ADAPTIVE_REGIME_DECAY_HALFLIFE_H', 'ADAPTIVE_REGIME_HEAT_TRIGGER', `</t>
        </is>
      </c>
      <c r="E70" s="0" t="inlineStr">
        <is>
          <t>GLOBAL_CHECK</t>
        </is>
      </c>
      <c r="F70" s="0" t="inlineStr">
        <is>
          <t>GLOBAL_CHECK</t>
        </is>
      </c>
      <c r="G70" s="0" t="inlineStr">
        <is>
          <t>CIRCUIT_SHARPE_GATES</t>
        </is>
      </c>
      <c r="H70" s="0" t="inlineStr">
        <is>
          <t>SPECIFIC — only gated switches</t>
        </is>
      </c>
      <c r="I70" s="0" t="inlineStr">
        <is>
          <t>LIVE — wired</t>
        </is>
      </c>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0" t="n">
        <v>17</v>
      </c>
      <c r="B71" s="0" t="inlineStr">
        <is>
          <t>CIRCUIT_SHARPE_GATES_FILTER_TF</t>
        </is>
      </c>
      <c r="C71" s="0" t="inlineStr">
        <is>
          <t>1h</t>
        </is>
      </c>
      <c r="D71" s="0" t="inlineStr">
        <is>
          <t>Circuit breaker gated by rolling Sharpe on FILTER_TF. | Live read: `THRESHOLD', 'ADAPTIVE_REGIME_DECAY_HALFLIFE_H', 'ADAPTIVE_REGIME_HEAT_TRIGGER', `</t>
        </is>
      </c>
      <c r="E71" s="0" t="inlineStr">
        <is>
          <t>GLOBAL_CHECK</t>
        </is>
      </c>
      <c r="F71" s="0" t="inlineStr">
        <is>
          <t>GLOBAL_CHECK</t>
        </is>
      </c>
      <c r="G71" s="0" t="inlineStr">
        <is>
          <t>CIRCUIT_SHARPE_GATES</t>
        </is>
      </c>
      <c r="H71" s="0" t="inlineStr">
        <is>
          <t>SPECIFIC — only gated switches</t>
        </is>
      </c>
      <c r="I71" s="0" t="inlineStr">
        <is>
          <t>LIVE — wired</t>
        </is>
      </c>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0" t="n">
        <v>17</v>
      </c>
      <c r="B72" s="0" t="inlineStr">
        <is>
          <t>CIRCUIT_SHARPE_GATES_FILTER_TF</t>
        </is>
      </c>
      <c r="C72" s="0" t="inlineStr">
        <is>
          <t>15m</t>
        </is>
      </c>
      <c r="D72" s="0" t="inlineStr">
        <is>
          <t>Circuit breaker gated by rolling Sharpe on FILTER_TF. | Live read: `THRESHOLD', 'ADAPTIVE_REGIME_DECAY_HALFLIFE_H', 'ADAPTIVE_REGIME_HEAT_TRIGGER', `</t>
        </is>
      </c>
      <c r="E72" s="0" t="inlineStr">
        <is>
          <t>GLOBAL_CHECK</t>
        </is>
      </c>
      <c r="F72" s="0" t="inlineStr">
        <is>
          <t>GLOBAL_CHECK</t>
        </is>
      </c>
      <c r="G72" s="0" t="inlineStr">
        <is>
          <t>CIRCUIT_SHARPE_GATES</t>
        </is>
      </c>
      <c r="H72" s="0" t="inlineStr">
        <is>
          <t>SPECIFIC — only gated switches</t>
        </is>
      </c>
      <c r="I72" s="0" t="inlineStr">
        <is>
          <t>LIVE — wired</t>
        </is>
      </c>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0" t="n">
        <v>18</v>
      </c>
      <c r="B73" s="0" t="inlineStr">
        <is>
          <t>COOLDOWN_LOCKS_FILTER_TF</t>
        </is>
      </c>
      <c r="C73" s="0" t="inlineStr">
        <is>
          <t>OFF</t>
        </is>
      </c>
      <c r="D73" s="0" t="inlineStr">
        <is>
          <t>Cooldown lockout after recent trade on FILTER_TF. | Live read: `EAT_TRIGGER', 'ADAPTIVE_REGIME_LOOKBACK_DAYS', 'ADAPTIVE_REGIME_MIN_SIGNALS', 'A`</t>
        </is>
      </c>
      <c r="E73" s="0" t="inlineStr">
        <is>
          <t>GLOBAL_CHECK</t>
        </is>
      </c>
      <c r="F73" s="0" t="inlineStr">
        <is>
          <t>GLOBAL_CHECK</t>
        </is>
      </c>
      <c r="G73" s="0" t="inlineStr">
        <is>
          <t>COOLDOWN_LOCKS</t>
        </is>
      </c>
      <c r="H73" s="0" t="inlineStr">
        <is>
          <t>GENERAL — uniform</t>
        </is>
      </c>
      <c r="I73" s="0" t="inlineStr">
        <is>
          <t>LIVE — wired</t>
        </is>
      </c>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0" t="n">
        <v>18</v>
      </c>
      <c r="B74" s="0" t="inlineStr">
        <is>
          <t>COOLDOWN_LOCKS_FILTER_TF</t>
        </is>
      </c>
      <c r="C74" s="0" t="inlineStr">
        <is>
          <t>D</t>
        </is>
      </c>
      <c r="D74" s="0" t="inlineStr">
        <is>
          <t>Cooldown lockout after recent trade on FILTER_TF. | Live read: `EAT_TRIGGER', 'ADAPTIVE_REGIME_LOOKBACK_DAYS', 'ADAPTIVE_REGIME_MIN_SIGNALS', 'A`</t>
        </is>
      </c>
      <c r="E74" s="0" t="inlineStr">
        <is>
          <t>GLOBAL_CHECK</t>
        </is>
      </c>
      <c r="F74" s="0" t="inlineStr">
        <is>
          <t>GLOBAL_CHECK</t>
        </is>
      </c>
      <c r="G74" s="0" t="inlineStr">
        <is>
          <t>COOLDOWN_LOCKS</t>
        </is>
      </c>
      <c r="H74" s="0" t="inlineStr">
        <is>
          <t>GENERAL — uniform</t>
        </is>
      </c>
      <c r="I74" s="0" t="inlineStr">
        <is>
          <t>LIVE — wired</t>
        </is>
      </c>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0" t="n">
        <v>18</v>
      </c>
      <c r="B75" s="0" t="inlineStr">
        <is>
          <t>COOLDOWN_LOCKS_FILTER_TF</t>
        </is>
      </c>
      <c r="C75" s="0" t="inlineStr">
        <is>
          <t>4h</t>
        </is>
      </c>
      <c r="D75" s="0" t="inlineStr">
        <is>
          <t>Cooldown lockout after recent trade on FILTER_TF. | Live read: `EAT_TRIGGER', 'ADAPTIVE_REGIME_LOOKBACK_DAYS', 'ADAPTIVE_REGIME_MIN_SIGNALS', 'A`</t>
        </is>
      </c>
      <c r="E75" s="0" t="inlineStr">
        <is>
          <t>GLOBAL_CHECK</t>
        </is>
      </c>
      <c r="F75" s="0" t="inlineStr">
        <is>
          <t>GLOBAL_CHECK</t>
        </is>
      </c>
      <c r="G75" s="0" t="inlineStr">
        <is>
          <t>COOLDOWN_LOCKS</t>
        </is>
      </c>
      <c r="H75" s="0" t="inlineStr">
        <is>
          <t>GENERAL — uniform</t>
        </is>
      </c>
      <c r="I75" s="0" t="inlineStr">
        <is>
          <t>LIVE — wired</t>
        </is>
      </c>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0" t="n">
        <v>18</v>
      </c>
      <c r="B76" s="0" t="inlineStr">
        <is>
          <t>COOLDOWN_LOCKS_FILTER_TF</t>
        </is>
      </c>
      <c r="C76" s="0" t="inlineStr">
        <is>
          <t>1h</t>
        </is>
      </c>
      <c r="D76" s="0" t="inlineStr">
        <is>
          <t>Cooldown lockout after recent trade on FILTER_TF. | Live read: `EAT_TRIGGER', 'ADAPTIVE_REGIME_LOOKBACK_DAYS', 'ADAPTIVE_REGIME_MIN_SIGNALS', 'A`</t>
        </is>
      </c>
      <c r="E76" s="0" t="inlineStr">
        <is>
          <t>GLOBAL_CHECK</t>
        </is>
      </c>
      <c r="F76" s="0" t="inlineStr">
        <is>
          <t>GLOBAL_CHECK</t>
        </is>
      </c>
      <c r="G76" s="0" t="inlineStr">
        <is>
          <t>COOLDOWN_LOCKS</t>
        </is>
      </c>
      <c r="H76" s="0" t="inlineStr">
        <is>
          <t>GENERAL — uniform</t>
        </is>
      </c>
      <c r="I76" s="0" t="inlineStr">
        <is>
          <t>LIVE — wired</t>
        </is>
      </c>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0" t="n">
        <v>18</v>
      </c>
      <c r="B77" s="0" t="inlineStr">
        <is>
          <t>COOLDOWN_LOCKS_FILTER_TF</t>
        </is>
      </c>
      <c r="C77" s="0" t="inlineStr">
        <is>
          <t>15m</t>
        </is>
      </c>
      <c r="D77" s="0" t="inlineStr">
        <is>
          <t>Cooldown lockout after recent trade on FILTER_TF. | Live read: `EAT_TRIGGER', 'ADAPTIVE_REGIME_LOOKBACK_DAYS', 'ADAPTIVE_REGIME_MIN_SIGNALS', 'A`</t>
        </is>
      </c>
      <c r="E77" s="0" t="inlineStr">
        <is>
          <t>GLOBAL_CHECK</t>
        </is>
      </c>
      <c r="F77" s="0" t="inlineStr">
        <is>
          <t>GLOBAL_CHECK</t>
        </is>
      </c>
      <c r="G77" s="0" t="inlineStr">
        <is>
          <t>COOLDOWN_LOCKS</t>
        </is>
      </c>
      <c r="H77" s="0" t="inlineStr">
        <is>
          <t>GENERAL — uniform</t>
        </is>
      </c>
      <c r="I77" s="0" t="inlineStr">
        <is>
          <t>LIVE — wired</t>
        </is>
      </c>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0" t="n">
        <v>19</v>
      </c>
      <c r="B78" s="0" t="inlineStr">
        <is>
          <t>CRYPTO_SPIKE_FADE_THRESHOLD_PCT</t>
        </is>
      </c>
      <c r="C78" s="0" t="inlineStr">
        <is>
          <t>10</t>
        </is>
      </c>
      <c r="D78" s="0" t="inlineStr">
        <is>
          <t>Blocks entries after crypto spike &gt; threshold (fade the spike). | Live read: `ME_LOOKBACK_DAYS', 'ADAPTIVE_REGIME_MIN_SIGNALS', 'ADAPTIVE_REGIME_NPZ_CACHE_HOU`</t>
        </is>
      </c>
      <c r="E78" s="0" t="inlineStr">
        <is>
          <t>GLOBAL_CHECK, STOCKS_EXIT</t>
        </is>
      </c>
      <c r="F78" s="0" t="inlineStr">
        <is>
          <t>GLOBAL_CHECK, STOCKS_EXIT</t>
        </is>
      </c>
      <c r="G78" s="0" t="inlineStr">
        <is>
          <t>CRYPTO_SPIKE_FADE_THRESHOLD_PCT</t>
        </is>
      </c>
      <c r="H78" s="0" t="inlineStr">
        <is>
          <t>GENERAL</t>
        </is>
      </c>
      <c r="I78" s="0" t="inlineStr">
        <is>
          <t>LIVE — wired</t>
        </is>
      </c>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0" t="n">
        <v>19</v>
      </c>
      <c r="B79" s="0" t="inlineStr">
        <is>
          <t>CRYPTO_SPIKE_FADE_THRESHOLD_PCT</t>
        </is>
      </c>
      <c r="C79" s="0" t="inlineStr">
        <is>
          <t>12.5</t>
        </is>
      </c>
      <c r="D79" s="0" t="inlineStr">
        <is>
          <t>Blocks entries after crypto spike &gt; threshold (fade the spike). | Live read: `ME_LOOKBACK_DAYS', 'ADAPTIVE_REGIME_MIN_SIGNALS', 'ADAPTIVE_REGIME_NPZ_CACHE_HOU`</t>
        </is>
      </c>
      <c r="E79" s="0" t="inlineStr">
        <is>
          <t>GLOBAL_CHECK, STOCKS_EXIT</t>
        </is>
      </c>
      <c r="F79" s="0" t="inlineStr">
        <is>
          <t>GLOBAL_CHECK, STOCKS_EXIT</t>
        </is>
      </c>
      <c r="G79" s="0" t="inlineStr">
        <is>
          <t>CRYPTO_SPIKE_FADE_THRESHOLD_PCT</t>
        </is>
      </c>
      <c r="H79" s="0" t="inlineStr">
        <is>
          <t>GENERAL</t>
        </is>
      </c>
      <c r="I79" s="0" t="inlineStr">
        <is>
          <t>LIVE — wired</t>
        </is>
      </c>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0" t="n">
        <v>19</v>
      </c>
      <c r="B80" s="0" t="inlineStr">
        <is>
          <t>CRYPTO_SPIKE_FADE_THRESHOLD_PCT</t>
        </is>
      </c>
      <c r="C80" s="0" t="inlineStr">
        <is>
          <t>7.5</t>
        </is>
      </c>
      <c r="D80" s="0" t="inlineStr">
        <is>
          <t>Blocks entries after crypto spike &gt; threshold (fade the spike). | Live read: `ME_LOOKBACK_DAYS', 'ADAPTIVE_REGIME_MIN_SIGNALS', 'ADAPTIVE_REGIME_NPZ_CACHE_HOU`</t>
        </is>
      </c>
      <c r="E80" s="0" t="inlineStr">
        <is>
          <t>GLOBAL_CHECK, STOCKS_EXIT</t>
        </is>
      </c>
      <c r="F80" s="0" t="inlineStr">
        <is>
          <t>GLOBAL_CHECK, STOCKS_EXIT</t>
        </is>
      </c>
      <c r="G80" s="0" t="inlineStr">
        <is>
          <t>CRYPTO_SPIKE_FADE_THRESHOLD_PCT</t>
        </is>
      </c>
      <c r="H80" s="0" t="inlineStr">
        <is>
          <t>GENERAL</t>
        </is>
      </c>
      <c r="I80" s="0" t="inlineStr">
        <is>
          <t>LIVE — wired</t>
        </is>
      </c>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0" t="n">
        <v>19</v>
      </c>
      <c r="B81" s="0" t="inlineStr">
        <is>
          <t>CRYPTO_SPIKE_FADE_THRESHOLD_PCT</t>
        </is>
      </c>
      <c r="C81" s="0" t="inlineStr">
        <is>
          <t>5</t>
        </is>
      </c>
      <c r="D81" s="0" t="inlineStr">
        <is>
          <t>Blocks entries after crypto spike &gt; threshold (fade the spike). | Live read: `ME_LOOKBACK_DAYS', 'ADAPTIVE_REGIME_MIN_SIGNALS', 'ADAPTIVE_REGIME_NPZ_CACHE_HOU`</t>
        </is>
      </c>
      <c r="E81" s="0" t="inlineStr">
        <is>
          <t>GLOBAL_CHECK, STOCKS_EXIT</t>
        </is>
      </c>
      <c r="F81" s="0" t="inlineStr">
        <is>
          <t>GLOBAL_CHECK, STOCKS_EXIT</t>
        </is>
      </c>
      <c r="G81" s="0" t="inlineStr">
        <is>
          <t>CRYPTO_SPIKE_FADE_THRESHOLD_PCT</t>
        </is>
      </c>
      <c r="H81" s="0" t="inlineStr">
        <is>
          <t>GENERAL</t>
        </is>
      </c>
      <c r="I81" s="0" t="inlineStr">
        <is>
          <t>LIVE — wired</t>
        </is>
      </c>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0" t="n">
        <v>20</v>
      </c>
      <c r="B82" s="0" t="inlineStr">
        <is>
          <t>DC_BREACH_REDUCE_FILTER_TF</t>
        </is>
      </c>
      <c r="C82" s="0" t="inlineStr">
        <is>
          <t>OFF</t>
        </is>
      </c>
      <c r="D82" s="0" t="inlineStr">
        <is>
          <t>Reduce: when DC channel is breached against position, requires FILTER_TF confirm before partial reduce. | Live read: `_EXHAUSTIVE_REDUCE_LIST_LIVE = ['DC_BREACH_REDUCE_ENABLED', 'DC_BREACH_REDUCE_FI`</t>
        </is>
      </c>
      <c r="E82" s="0" t="inlineStr">
        <is>
          <t>GLOBAL_CHECK</t>
        </is>
      </c>
      <c r="F82" s="0" t="inlineStr">
        <is>
          <t>GLOBAL_CHECK</t>
        </is>
      </c>
      <c r="G82" s="0" t="inlineStr">
        <is>
          <t>DC breach reduce</t>
        </is>
      </c>
      <c r="H82" s="0" t="inlineStr">
        <is>
          <t>SPECIFIC — only gated switches</t>
        </is>
      </c>
      <c r="I82" s="0" t="inlineStr">
        <is>
          <t>LIVE — wired</t>
        </is>
      </c>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0" t="n">
        <v>20</v>
      </c>
      <c r="B83" s="0" t="inlineStr">
        <is>
          <t>DC_BREACH_REDUCE_FILTER_TF</t>
        </is>
      </c>
      <c r="C83" s="0" t="inlineStr">
        <is>
          <t>D</t>
        </is>
      </c>
      <c r="D83" s="0" t="inlineStr">
        <is>
          <t>Reduce: when DC channel is breached against position, requires FILTER_TF confirm before partial reduce. | Live read: `_EXHAUSTIVE_REDUCE_LIST_LIVE = ['DC_BREACH_REDUCE_ENABLED', 'DC_BREACH_REDUCE_FI`</t>
        </is>
      </c>
      <c r="E83" s="0" t="inlineStr">
        <is>
          <t>GLOBAL_CHECK</t>
        </is>
      </c>
      <c r="F83" s="0" t="inlineStr">
        <is>
          <t>GLOBAL_CHECK</t>
        </is>
      </c>
      <c r="G83" s="0" t="inlineStr">
        <is>
          <t>DC breach reduce</t>
        </is>
      </c>
      <c r="H83" s="0" t="inlineStr">
        <is>
          <t>SPECIFIC — only gated switches</t>
        </is>
      </c>
      <c r="I83" s="0" t="inlineStr">
        <is>
          <t>LIVE — wired</t>
        </is>
      </c>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0" t="n">
        <v>20</v>
      </c>
      <c r="B84" s="0" t="inlineStr">
        <is>
          <t>DC_BREACH_REDUCE_FILTER_TF</t>
        </is>
      </c>
      <c r="C84" s="0" t="inlineStr">
        <is>
          <t>4h</t>
        </is>
      </c>
      <c r="D84" s="0" t="inlineStr">
        <is>
          <t>Reduce: when DC channel is breached against position, requires FILTER_TF confirm before partial reduce. | Live read: `_EXHAUSTIVE_REDUCE_LIST_LIVE = ['DC_BREACH_REDUCE_ENABLED', 'DC_BREACH_REDUCE_FI`</t>
        </is>
      </c>
      <c r="E84" s="0" t="inlineStr">
        <is>
          <t>GLOBAL_CHECK</t>
        </is>
      </c>
      <c r="F84" s="0" t="inlineStr">
        <is>
          <t>GLOBAL_CHECK</t>
        </is>
      </c>
      <c r="G84" s="0" t="inlineStr">
        <is>
          <t>DC breach reduce</t>
        </is>
      </c>
      <c r="H84" s="0" t="inlineStr">
        <is>
          <t>SPECIFIC — only gated switches</t>
        </is>
      </c>
      <c r="I84" s="0" t="inlineStr">
        <is>
          <t>LIVE — wired</t>
        </is>
      </c>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0" t="n">
        <v>20</v>
      </c>
      <c r="B85" s="0" t="inlineStr">
        <is>
          <t>DC_BREACH_REDUCE_FILTER_TF</t>
        </is>
      </c>
      <c r="C85" s="0" t="inlineStr">
        <is>
          <t>1h</t>
        </is>
      </c>
      <c r="D85" s="0" t="inlineStr">
        <is>
          <t>Reduce: when DC channel is breached against position, requires FILTER_TF confirm before partial reduce. | Live read: `_EXHAUSTIVE_REDUCE_LIST_LIVE = ['DC_BREACH_REDUCE_ENABLED', 'DC_BREACH_REDUCE_FI`</t>
        </is>
      </c>
      <c r="E85" s="0" t="inlineStr">
        <is>
          <t>GLOBAL_CHECK</t>
        </is>
      </c>
      <c r="F85" s="0" t="inlineStr">
        <is>
          <t>GLOBAL_CHECK</t>
        </is>
      </c>
      <c r="G85" s="0" t="inlineStr">
        <is>
          <t>DC breach reduce</t>
        </is>
      </c>
      <c r="H85" s="0" t="inlineStr">
        <is>
          <t>SPECIFIC — only gated switches</t>
        </is>
      </c>
      <c r="I85" s="0" t="inlineStr">
        <is>
          <t>LIVE — wired</t>
        </is>
      </c>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0" t="n">
        <v>20</v>
      </c>
      <c r="B86" s="0" t="inlineStr">
        <is>
          <t>DC_BREACH_REDUCE_FILTER_TF</t>
        </is>
      </c>
      <c r="C86" s="0" t="inlineStr">
        <is>
          <t>15m</t>
        </is>
      </c>
      <c r="D86" s="0" t="inlineStr">
        <is>
          <t>Reduce: when DC channel is breached against position, requires FILTER_TF confirm before partial reduce. | Live read: `_EXHAUSTIVE_REDUCE_LIST_LIVE = ['DC_BREACH_REDUCE_ENABLED', 'DC_BREACH_REDUCE_FI`</t>
        </is>
      </c>
      <c r="E86" s="0" t="inlineStr">
        <is>
          <t>GLOBAL_CHECK</t>
        </is>
      </c>
      <c r="F86" s="0" t="inlineStr">
        <is>
          <t>GLOBAL_CHECK</t>
        </is>
      </c>
      <c r="G86" s="0" t="inlineStr">
        <is>
          <t>DC breach reduce</t>
        </is>
      </c>
      <c r="H86" s="0" t="inlineStr">
        <is>
          <t>SPECIFIC — only gated switches</t>
        </is>
      </c>
      <c r="I86" s="0" t="inlineStr">
        <is>
          <t>LIVE — wired</t>
        </is>
      </c>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0" t="n">
        <v>21</v>
      </c>
      <c r="B87" s="0" t="inlineStr">
        <is>
          <t>DC_BREAK_FILTER_TF</t>
        </is>
      </c>
      <c r="C87" s="0" t="inlineStr">
        <is>
          <t>OFF</t>
        </is>
      </c>
      <c r="D87" s="0" t="inlineStr">
        <is>
          <t>Donchian break confirmation on FILTER_TF before breakout entry. | Live read: `RY_REENTRY_K15_HIGH_SIZE_FRAC', 'OBLIGATORY_REENTRY_LONG_ENABLED', 'OBLIGATORY_R`</t>
        </is>
      </c>
      <c r="E87" s="0" t="inlineStr">
        <is>
          <t>ENTRY, GLOBAL_CHECK, REENTRY, STOCKS_EXIT</t>
        </is>
      </c>
      <c r="F87" s="0" t="inlineStr">
        <is>
          <t>ENTRY, GLOBAL_CHECK, REENTRY, STOCKS_EXIT</t>
        </is>
      </c>
      <c r="G87" s="0" t="inlineStr">
        <is>
          <t>Donchian breakout</t>
        </is>
      </c>
      <c r="H87" s="0" t="inlineStr">
        <is>
          <t>SPECIFIC — only gated switches</t>
        </is>
      </c>
      <c r="I87" s="0" t="inlineStr">
        <is>
          <t>LIVE — wired</t>
        </is>
      </c>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0" t="n">
        <v>21</v>
      </c>
      <c r="B88" s="0" t="inlineStr">
        <is>
          <t>DC_BREAK_FILTER_TF</t>
        </is>
      </c>
      <c r="C88" s="0" t="inlineStr">
        <is>
          <t>D</t>
        </is>
      </c>
      <c r="D88" s="0" t="inlineStr">
        <is>
          <t>Donchian break confirmation on FILTER_TF before breakout entry. | Live read: `RY_REENTRY_K15_HIGH_SIZE_FRAC', 'OBLIGATORY_REENTRY_LONG_ENABLED', 'OBLIGATORY_R`</t>
        </is>
      </c>
      <c r="E88" s="0" t="inlineStr">
        <is>
          <t>ENTRY, GLOBAL_CHECK, REENTRY, STOCKS_EXIT</t>
        </is>
      </c>
      <c r="F88" s="0" t="inlineStr">
        <is>
          <t>ENTRY, GLOBAL_CHECK, REENTRY, STOCKS_EXIT</t>
        </is>
      </c>
      <c r="G88" s="0" t="inlineStr">
        <is>
          <t>Donchian breakout</t>
        </is>
      </c>
      <c r="H88" s="0" t="inlineStr">
        <is>
          <t>SPECIFIC — only gated switches</t>
        </is>
      </c>
      <c r="I88" s="0" t="inlineStr">
        <is>
          <t>LIVE — wired</t>
        </is>
      </c>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0" t="n">
        <v>21</v>
      </c>
      <c r="B89" s="0" t="inlineStr">
        <is>
          <t>DC_BREAK_FILTER_TF</t>
        </is>
      </c>
      <c r="C89" s="0" t="inlineStr">
        <is>
          <t>4h</t>
        </is>
      </c>
      <c r="D89" s="0" t="inlineStr">
        <is>
          <t>Donchian break confirmation on FILTER_TF before breakout entry. | Live read: `RY_REENTRY_K15_HIGH_SIZE_FRAC', 'OBLIGATORY_REENTRY_LONG_ENABLED', 'OBLIGATORY_R`</t>
        </is>
      </c>
      <c r="E89" s="0" t="inlineStr">
        <is>
          <t>ENTRY, GLOBAL_CHECK, REENTRY, STOCKS_EXIT</t>
        </is>
      </c>
      <c r="F89" s="0" t="inlineStr">
        <is>
          <t>ENTRY, GLOBAL_CHECK, REENTRY, STOCKS_EXIT</t>
        </is>
      </c>
      <c r="G89" s="0" t="inlineStr">
        <is>
          <t>Donchian breakout</t>
        </is>
      </c>
      <c r="H89" s="0" t="inlineStr">
        <is>
          <t>SPECIFIC — only gated switches</t>
        </is>
      </c>
      <c r="I89" s="0" t="inlineStr">
        <is>
          <t>LIVE — wired</t>
        </is>
      </c>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0" t="n">
        <v>21</v>
      </c>
      <c r="B90" s="0" t="inlineStr">
        <is>
          <t>DC_BREAK_FILTER_TF</t>
        </is>
      </c>
      <c r="C90" s="0" t="inlineStr">
        <is>
          <t>1h</t>
        </is>
      </c>
      <c r="D90" s="0" t="inlineStr">
        <is>
          <t>Donchian break confirmation on FILTER_TF before breakout entry. | Live read: `RY_REENTRY_K15_HIGH_SIZE_FRAC', 'OBLIGATORY_REENTRY_LONG_ENABLED', 'OBLIGATORY_R`</t>
        </is>
      </c>
      <c r="E90" s="0" t="inlineStr">
        <is>
          <t>ENTRY, GLOBAL_CHECK, REENTRY, STOCKS_EXIT</t>
        </is>
      </c>
      <c r="F90" s="0" t="inlineStr">
        <is>
          <t>ENTRY, GLOBAL_CHECK, REENTRY, STOCKS_EXIT</t>
        </is>
      </c>
      <c r="G90" s="0" t="inlineStr">
        <is>
          <t>Donchian breakout</t>
        </is>
      </c>
      <c r="H90" s="0" t="inlineStr">
        <is>
          <t>SPECIFIC — only gated switches</t>
        </is>
      </c>
      <c r="I90" s="0" t="inlineStr">
        <is>
          <t>LIVE — wired</t>
        </is>
      </c>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0" t="n">
        <v>21</v>
      </c>
      <c r="B91" s="0" t="inlineStr">
        <is>
          <t>DC_BREAK_FILTER_TF</t>
        </is>
      </c>
      <c r="C91" s="0" t="inlineStr">
        <is>
          <t>15m</t>
        </is>
      </c>
      <c r="D91" s="0" t="inlineStr">
        <is>
          <t>Donchian break confirmation on FILTER_TF before breakout entry. | Live read: `RY_REENTRY_K15_HIGH_SIZE_FRAC', 'OBLIGATORY_REENTRY_LONG_ENABLED', 'OBLIGATORY_R`</t>
        </is>
      </c>
      <c r="E91" s="0" t="inlineStr">
        <is>
          <t>ENTRY, GLOBAL_CHECK, REENTRY, STOCKS_EXIT</t>
        </is>
      </c>
      <c r="F91" s="0" t="inlineStr">
        <is>
          <t>ENTRY, GLOBAL_CHECK, REENTRY, STOCKS_EXIT</t>
        </is>
      </c>
      <c r="G91" s="0" t="inlineStr">
        <is>
          <t>Donchian breakout</t>
        </is>
      </c>
      <c r="H91" s="0" t="inlineStr">
        <is>
          <t>SPECIFIC — only gated switches</t>
        </is>
      </c>
      <c r="I91" s="0" t="inlineStr">
        <is>
          <t>LIVE — wired</t>
        </is>
      </c>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0" t="n">
        <v>22</v>
      </c>
      <c r="B92" s="0" t="inlineStr">
        <is>
          <t>DC_MOMENTUM_BOTA_SCORER_FILTER_TF</t>
        </is>
      </c>
      <c r="C92" s="0" t="inlineStr">
        <is>
          <t>OFF</t>
        </is>
      </c>
      <c r="D92" s="0" t="inlineStr">
        <is>
          <t>BOTA momentum scorer confirmation on FILTER_TF. | Live read: `APTIVE_REGIME_SHARPE_FLOOR', 'BAND_ARROW_ENABLED', 'BAR_PATTERNS_FILTER_TF', 'BB`</t>
        </is>
      </c>
      <c r="E92" s="0" t="inlineStr">
        <is>
          <t>GLOBAL_CHECK</t>
        </is>
      </c>
      <c r="F92" s="0" t="inlineStr">
        <is>
          <t>GLOBAL_CHECK</t>
        </is>
      </c>
      <c r="G92" s="0" t="inlineStr">
        <is>
          <t>DC_MOMENTUM_BOTA_SCORER</t>
        </is>
      </c>
      <c r="H92" s="0" t="inlineStr">
        <is>
          <t>SPECIFIC — only gated switches</t>
        </is>
      </c>
      <c r="I92" s="0" t="inlineStr">
        <is>
          <t>LIVE — wired</t>
        </is>
      </c>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0" t="n">
        <v>22</v>
      </c>
      <c r="B93" s="0" t="inlineStr">
        <is>
          <t>DC_MOMENTUM_BOTA_SCORER_FILTER_TF</t>
        </is>
      </c>
      <c r="C93" s="0" t="inlineStr">
        <is>
          <t>D</t>
        </is>
      </c>
      <c r="D93" s="0" t="inlineStr">
        <is>
          <t>BOTA momentum scorer confirmation on FILTER_TF. | Live read: `APTIVE_REGIME_SHARPE_FLOOR', 'BAND_ARROW_ENABLED', 'BAR_PATTERNS_FILTER_TF', 'BB`</t>
        </is>
      </c>
      <c r="E93" s="0" t="inlineStr">
        <is>
          <t>GLOBAL_CHECK</t>
        </is>
      </c>
      <c r="F93" s="0" t="inlineStr">
        <is>
          <t>GLOBAL_CHECK</t>
        </is>
      </c>
      <c r="G93" s="0" t="inlineStr">
        <is>
          <t>DC_MOMENTUM_BOTA_SCORER</t>
        </is>
      </c>
      <c r="H93" s="0" t="inlineStr">
        <is>
          <t>SPECIFIC — only gated switches</t>
        </is>
      </c>
      <c r="I93" s="0" t="inlineStr">
        <is>
          <t>LIVE — wired</t>
        </is>
      </c>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0" t="n">
        <v>22</v>
      </c>
      <c r="B94" s="0" t="inlineStr">
        <is>
          <t>DC_MOMENTUM_BOTA_SCORER_FILTER_TF</t>
        </is>
      </c>
      <c r="C94" s="0" t="inlineStr">
        <is>
          <t>4h</t>
        </is>
      </c>
      <c r="D94" s="0" t="inlineStr">
        <is>
          <t>BOTA momentum scorer confirmation on FILTER_TF. | Live read: `APTIVE_REGIME_SHARPE_FLOOR', 'BAND_ARROW_ENABLED', 'BAR_PATTERNS_FILTER_TF', 'BB`</t>
        </is>
      </c>
      <c r="E94" s="0" t="inlineStr">
        <is>
          <t>GLOBAL_CHECK</t>
        </is>
      </c>
      <c r="F94" s="0" t="inlineStr">
        <is>
          <t>GLOBAL_CHECK</t>
        </is>
      </c>
      <c r="G94" s="0" t="inlineStr">
        <is>
          <t>DC_MOMENTUM_BOTA_SCORER</t>
        </is>
      </c>
      <c r="H94" s="0" t="inlineStr">
        <is>
          <t>SPECIFIC — only gated switches</t>
        </is>
      </c>
      <c r="I94" s="0" t="inlineStr">
        <is>
          <t>LIVE — wired</t>
        </is>
      </c>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0" t="n">
        <v>22</v>
      </c>
      <c r="B95" s="0" t="inlineStr">
        <is>
          <t>DC_MOMENTUM_BOTA_SCORER_FILTER_TF</t>
        </is>
      </c>
      <c r="C95" s="0" t="inlineStr">
        <is>
          <t>1h</t>
        </is>
      </c>
      <c r="D95" s="0" t="inlineStr">
        <is>
          <t>BOTA momentum scorer confirmation on FILTER_TF. | Live read: `APTIVE_REGIME_SHARPE_FLOOR', 'BAND_ARROW_ENABLED', 'BAR_PATTERNS_FILTER_TF', 'BB`</t>
        </is>
      </c>
      <c r="E95" s="0" t="inlineStr">
        <is>
          <t>GLOBAL_CHECK</t>
        </is>
      </c>
      <c r="F95" s="0" t="inlineStr">
        <is>
          <t>GLOBAL_CHECK</t>
        </is>
      </c>
      <c r="G95" s="0" t="inlineStr">
        <is>
          <t>DC_MOMENTUM_BOTA_SCORER</t>
        </is>
      </c>
      <c r="H95" s="0" t="inlineStr">
        <is>
          <t>SPECIFIC — only gated switches</t>
        </is>
      </c>
      <c r="I95" s="0" t="inlineStr">
        <is>
          <t>LIVE — wired</t>
        </is>
      </c>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0" t="n">
        <v>22</v>
      </c>
      <c r="B96" s="0" t="inlineStr">
        <is>
          <t>DC_MOMENTUM_BOTA_SCORER_FILTER_TF</t>
        </is>
      </c>
      <c r="C96" s="0" t="inlineStr">
        <is>
          <t>15m</t>
        </is>
      </c>
      <c r="D96" s="0" t="inlineStr">
        <is>
          <t>BOTA momentum scorer confirmation on FILTER_TF. | Live read: `APTIVE_REGIME_SHARPE_FLOOR', 'BAND_ARROW_ENABLED', 'BAR_PATTERNS_FILTER_TF', 'BB`</t>
        </is>
      </c>
      <c r="E96" s="0" t="inlineStr">
        <is>
          <t>GLOBAL_CHECK</t>
        </is>
      </c>
      <c r="F96" s="0" t="inlineStr">
        <is>
          <t>GLOBAL_CHECK</t>
        </is>
      </c>
      <c r="G96" s="0" t="inlineStr">
        <is>
          <t>DC_MOMENTUM_BOTA_SCORER</t>
        </is>
      </c>
      <c r="H96" s="0" t="inlineStr">
        <is>
          <t>SPECIFIC — only gated switches</t>
        </is>
      </c>
      <c r="I96" s="0" t="inlineStr">
        <is>
          <t>LIVE — wired</t>
        </is>
      </c>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0" t="n">
        <v>23</v>
      </c>
      <c r="B97" s="0" t="inlineStr">
        <is>
          <t>DC_MOMENT_STRONG_THRESHOLD</t>
        </is>
      </c>
      <c r="C97" s="0" t="inlineStr">
        <is>
          <t>40</t>
        </is>
      </c>
      <c r="D97" s="0" t="inlineStr">
        <is>
          <t>Threshold for strong momentum regime (DC momentum). | Live read: `ROW_ENABLED', 'BAR_PATTERNS_FILTER_TF', 'BB_PULLBACK_GATE_FILTER_TF', 'BB_PULLBA`</t>
        </is>
      </c>
      <c r="E97" s="0" t="inlineStr">
        <is>
          <t>ENTRY, GLOBAL_CHECK, STOCKS_EXIT</t>
        </is>
      </c>
      <c r="F97" s="0" t="inlineStr">
        <is>
          <t>ENTRY, GLOBAL_CHECK, STOCKS_EXIT</t>
        </is>
      </c>
      <c r="G97" s="0" t="inlineStr">
        <is>
          <t>DC_MOMENT_STRONG_THRESHOLD</t>
        </is>
      </c>
      <c r="H97" s="0" t="inlineStr">
        <is>
          <t>GENERAL</t>
        </is>
      </c>
      <c r="I97" s="0" t="inlineStr">
        <is>
          <t>LIVE — wired</t>
        </is>
      </c>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0" t="n">
        <v>23</v>
      </c>
      <c r="B98" s="0" t="inlineStr">
        <is>
          <t>DC_MOMENT_STRONG_THRESHOLD</t>
        </is>
      </c>
      <c r="C98" s="0" t="inlineStr">
        <is>
          <t>50</t>
        </is>
      </c>
      <c r="D98" s="0" t="inlineStr">
        <is>
          <t>Threshold for strong momentum regime (DC momentum). | Live read: `ROW_ENABLED', 'BAR_PATTERNS_FILTER_TF', 'BB_PULLBACK_GATE_FILTER_TF', 'BB_PULLBA`</t>
        </is>
      </c>
      <c r="E98" s="0" t="inlineStr">
        <is>
          <t>ENTRY, GLOBAL_CHECK, STOCKS_EXIT</t>
        </is>
      </c>
      <c r="F98" s="0" t="inlineStr">
        <is>
          <t>ENTRY, GLOBAL_CHECK, STOCKS_EXIT</t>
        </is>
      </c>
      <c r="G98" s="0" t="inlineStr">
        <is>
          <t>DC_MOMENT_STRONG_THRESHOLD</t>
        </is>
      </c>
      <c r="H98" s="0" t="inlineStr">
        <is>
          <t>GENERAL</t>
        </is>
      </c>
      <c r="I98" s="0" t="inlineStr">
        <is>
          <t>LIVE — wired</t>
        </is>
      </c>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0" t="n">
        <v>23</v>
      </c>
      <c r="B99" s="0" t="inlineStr">
        <is>
          <t>DC_MOMENT_STRONG_THRESHOLD</t>
        </is>
      </c>
      <c r="C99" s="0" t="inlineStr">
        <is>
          <t>30</t>
        </is>
      </c>
      <c r="D99" s="0" t="inlineStr">
        <is>
          <t>Threshold for strong momentum regime (DC momentum). | Live read: `ROW_ENABLED', 'BAR_PATTERNS_FILTER_TF', 'BB_PULLBACK_GATE_FILTER_TF', 'BB_PULLBA`</t>
        </is>
      </c>
      <c r="E99" s="0" t="inlineStr">
        <is>
          <t>ENTRY, GLOBAL_CHECK, STOCKS_EXIT</t>
        </is>
      </c>
      <c r="F99" s="0" t="inlineStr">
        <is>
          <t>ENTRY, GLOBAL_CHECK, STOCKS_EXIT</t>
        </is>
      </c>
      <c r="G99" s="0" t="inlineStr">
        <is>
          <t>DC_MOMENT_STRONG_THRESHOLD</t>
        </is>
      </c>
      <c r="H99" s="0" t="inlineStr">
        <is>
          <t>GENERAL</t>
        </is>
      </c>
      <c r="I99" s="0" t="inlineStr">
        <is>
          <t>LIVE — wired</t>
        </is>
      </c>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0" t="n">
        <v>23</v>
      </c>
      <c r="B100" s="0" t="inlineStr">
        <is>
          <t>DC_MOMENT_STRONG_THRESHOLD</t>
        </is>
      </c>
      <c r="C100" s="0" t="inlineStr">
        <is>
          <t>20</t>
        </is>
      </c>
      <c r="D100" s="0" t="inlineStr">
        <is>
          <t>Threshold for strong momentum regime (DC momentum). | Live read: `ROW_ENABLED', 'BAR_PATTERNS_FILTER_TF', 'BB_PULLBACK_GATE_FILTER_TF', 'BB_PULLBA`</t>
        </is>
      </c>
      <c r="E100" s="0" t="inlineStr">
        <is>
          <t>ENTRY, GLOBAL_CHECK, STOCKS_EXIT</t>
        </is>
      </c>
      <c r="F100" s="0" t="inlineStr">
        <is>
          <t>ENTRY, GLOBAL_CHECK, STOCKS_EXIT</t>
        </is>
      </c>
      <c r="G100" s="0" t="inlineStr">
        <is>
          <t>DC_MOMENT_STRONG_THRESHOLD</t>
        </is>
      </c>
      <c r="H100" s="0" t="inlineStr">
        <is>
          <t>GENERAL</t>
        </is>
      </c>
      <c r="I100" s="0" t="inlineStr">
        <is>
          <t>LIVE — wired</t>
        </is>
      </c>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0" t="n">
        <v>24</v>
      </c>
      <c r="B101" s="0" t="inlineStr">
        <is>
          <t>DELTA_ENGINE_FILTER_TF</t>
        </is>
      </c>
      <c r="C101" s="0" t="inlineStr">
        <is>
          <t>OFF</t>
        </is>
      </c>
      <c r="D101" s="0" t="inlineStr">
        <is>
          <t>Delta (order-flow) engine confirmation TF. | Live read: `LTER_TF', 'BB_PULLBACK_GATE_FILTER_TF', 'BB_PULLBACK_GATE_MIN_TFS', 'BB_RECOVERY`</t>
        </is>
      </c>
      <c r="E101" s="0" t="inlineStr">
        <is>
          <t>GLOBAL_CHECK</t>
        </is>
      </c>
      <c r="F101" s="0" t="inlineStr">
        <is>
          <t>GLOBAL_CHECK</t>
        </is>
      </c>
      <c r="G101" s="0" t="inlineStr">
        <is>
          <t>DELTA_ENGINE</t>
        </is>
      </c>
      <c r="H101" s="0" t="inlineStr">
        <is>
          <t>SPECIFIC — only gated switches</t>
        </is>
      </c>
      <c r="I101" s="0" t="inlineStr">
        <is>
          <t>LIVE — wired</t>
        </is>
      </c>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0" t="n">
        <v>24</v>
      </c>
      <c r="B102" s="0" t="inlineStr">
        <is>
          <t>DELTA_ENGINE_FILTER_TF</t>
        </is>
      </c>
      <c r="C102" s="0" t="inlineStr">
        <is>
          <t>D</t>
        </is>
      </c>
      <c r="D102" s="0" t="inlineStr">
        <is>
          <t>Delta (order-flow) engine confirmation TF. | Live read: `LTER_TF', 'BB_PULLBACK_GATE_FILTER_TF', 'BB_PULLBACK_GATE_MIN_TFS', 'BB_RECOVERY`</t>
        </is>
      </c>
      <c r="E102" s="0" t="inlineStr">
        <is>
          <t>GLOBAL_CHECK</t>
        </is>
      </c>
      <c r="F102" s="0" t="inlineStr">
        <is>
          <t>GLOBAL_CHECK</t>
        </is>
      </c>
      <c r="G102" s="0" t="inlineStr">
        <is>
          <t>DELTA_ENGINE</t>
        </is>
      </c>
      <c r="H102" s="0" t="inlineStr">
        <is>
          <t>SPECIFIC — only gated switches</t>
        </is>
      </c>
      <c r="I102" s="0" t="inlineStr">
        <is>
          <t>LIVE — wired</t>
        </is>
      </c>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0" t="n">
        <v>24</v>
      </c>
      <c r="B103" s="0" t="inlineStr">
        <is>
          <t>DELTA_ENGINE_FILTER_TF</t>
        </is>
      </c>
      <c r="C103" s="0" t="inlineStr">
        <is>
          <t>4h</t>
        </is>
      </c>
      <c r="D103" s="0" t="inlineStr">
        <is>
          <t>Delta (order-flow) engine confirmation TF. | Live read: `LTER_TF', 'BB_PULLBACK_GATE_FILTER_TF', 'BB_PULLBACK_GATE_MIN_TFS', 'BB_RECOVERY`</t>
        </is>
      </c>
      <c r="E103" s="0" t="inlineStr">
        <is>
          <t>GLOBAL_CHECK</t>
        </is>
      </c>
      <c r="F103" s="0" t="inlineStr">
        <is>
          <t>GLOBAL_CHECK</t>
        </is>
      </c>
      <c r="G103" s="0" t="inlineStr">
        <is>
          <t>DELTA_ENGINE</t>
        </is>
      </c>
      <c r="H103" s="0" t="inlineStr">
        <is>
          <t>SPECIFIC — only gated switches</t>
        </is>
      </c>
      <c r="I103" s="0" t="inlineStr">
        <is>
          <t>LIVE — wired</t>
        </is>
      </c>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0" t="n">
        <v>24</v>
      </c>
      <c r="B104" s="0" t="inlineStr">
        <is>
          <t>DELTA_ENGINE_FILTER_TF</t>
        </is>
      </c>
      <c r="C104" s="0" t="inlineStr">
        <is>
          <t>1h</t>
        </is>
      </c>
      <c r="D104" s="0" t="inlineStr">
        <is>
          <t>Delta (order-flow) engine confirmation TF. | Live read: `LTER_TF', 'BB_PULLBACK_GATE_FILTER_TF', 'BB_PULLBACK_GATE_MIN_TFS', 'BB_RECOVERY`</t>
        </is>
      </c>
      <c r="E104" s="0" t="inlineStr">
        <is>
          <t>GLOBAL_CHECK</t>
        </is>
      </c>
      <c r="F104" s="0" t="inlineStr">
        <is>
          <t>GLOBAL_CHECK</t>
        </is>
      </c>
      <c r="G104" s="0" t="inlineStr">
        <is>
          <t>DELTA_ENGINE</t>
        </is>
      </c>
      <c r="H104" s="0" t="inlineStr">
        <is>
          <t>SPECIFIC — only gated switches</t>
        </is>
      </c>
      <c r="I104" s="0" t="inlineStr">
        <is>
          <t>LIVE — wired</t>
        </is>
      </c>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0" t="n">
        <v>24</v>
      </c>
      <c r="B105" s="0" t="inlineStr">
        <is>
          <t>DELTA_ENGINE_FILTER_TF</t>
        </is>
      </c>
      <c r="C105" s="0" t="inlineStr">
        <is>
          <t>15m</t>
        </is>
      </c>
      <c r="D105" s="0" t="inlineStr">
        <is>
          <t>Delta (order-flow) engine confirmation TF. | Live read: `LTER_TF', 'BB_PULLBACK_GATE_FILTER_TF', 'BB_PULLBACK_GATE_MIN_TFS', 'BB_RECOVERY`</t>
        </is>
      </c>
      <c r="E105" s="0" t="inlineStr">
        <is>
          <t>GLOBAL_CHECK</t>
        </is>
      </c>
      <c r="F105" s="0" t="inlineStr">
        <is>
          <t>GLOBAL_CHECK</t>
        </is>
      </c>
      <c r="G105" s="0" t="inlineStr">
        <is>
          <t>DELTA_ENGINE</t>
        </is>
      </c>
      <c r="H105" s="0" t="inlineStr">
        <is>
          <t>SPECIFIC — only gated switches</t>
        </is>
      </c>
      <c r="I105" s="0" t="inlineStr">
        <is>
          <t>LIVE — wired</t>
        </is>
      </c>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0" t="n">
        <v>25</v>
      </c>
      <c r="B106" s="0" t="inlineStr">
        <is>
          <t>DELTA_HTF_GATE</t>
        </is>
      </c>
      <c r="C106" s="0" t="inlineStr">
        <is>
          <t>4h</t>
        </is>
      </c>
      <c r="D106" s="0" t="inlineStr">
        <is>
          <t>Delta HTF alignment gate (requires HTF delta agreement). | Live read: `N_TFS', 'BB_RECOVERY_FILTER_TF', 'BTC_DEDICATED_FILTER_TF', 'BTC_DIVERGENCE_REQU`</t>
        </is>
      </c>
      <c r="E106" s="0" t="inlineStr">
        <is>
          <t>ENTRY, GLOBAL_CHECK, STOCKS_EXIT</t>
        </is>
      </c>
      <c r="F106" s="0" t="inlineStr">
        <is>
          <t>ENTRY, GLOBAL_CHECK, STOCKS_EXIT</t>
        </is>
      </c>
      <c r="G106" s="0" t="inlineStr">
        <is>
          <t>DELTA_HTF_GATE</t>
        </is>
      </c>
      <c r="H106" s="0" t="inlineStr">
        <is>
          <t>GENERAL</t>
        </is>
      </c>
      <c r="I106" s="0" t="inlineStr">
        <is>
          <t>LIVE — wired</t>
        </is>
      </c>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0" t="n">
        <v>25</v>
      </c>
      <c r="B107" s="0" t="inlineStr">
        <is>
          <t>DELTA_HTF_GATE</t>
        </is>
      </c>
      <c r="C107" s="0" t="inlineStr">
        <is>
          <t>4h_ALT</t>
        </is>
      </c>
      <c r="D107" s="0" t="inlineStr">
        <is>
          <t>Delta HTF alignment gate (requires HTF delta agreement). | Live read: `N_TFS', 'BB_RECOVERY_FILTER_TF', 'BTC_DEDICATED_FILTER_TF', 'BTC_DIVERGENCE_REQU`</t>
        </is>
      </c>
      <c r="E107" s="0" t="inlineStr">
        <is>
          <t>ENTRY, GLOBAL_CHECK, STOCKS_EXIT</t>
        </is>
      </c>
      <c r="F107" s="0" t="inlineStr">
        <is>
          <t>ENTRY, GLOBAL_CHECK, STOCKS_EXIT</t>
        </is>
      </c>
      <c r="G107" s="0" t="inlineStr">
        <is>
          <t>DELTA_HTF_GATE</t>
        </is>
      </c>
      <c r="H107" s="0" t="inlineStr">
        <is>
          <t>GENERAL</t>
        </is>
      </c>
      <c r="I107" s="0" t="inlineStr">
        <is>
          <t>LIVE — wired</t>
        </is>
      </c>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0" t="n">
        <v>26</v>
      </c>
      <c r="B108" s="0" t="inlineStr">
        <is>
          <t>DELTA_REENTRY_FILTER_ENABLED</t>
        </is>
      </c>
      <c r="C108" s="0" t="inlineStr">
        <is>
          <t>False</t>
        </is>
      </c>
      <c r="D108" s="0" t="inlineStr">
        <is>
          <t>When OFF, disables delta-based reentry gating. | Live read: `Y_REQUIRE_TREND', 'BTC_ENTRY_PRIMARY_REQUIRE_ACCEL_RAMP', 'BTC_ENTRY_PRIMARY_REQ`</t>
        </is>
      </c>
      <c r="E108" s="0" t="inlineStr">
        <is>
          <t>ENTRY, GLOBAL_CHECK, STOCKS_EXIT</t>
        </is>
      </c>
      <c r="F108" s="0" t="inlineStr">
        <is>
          <t>ENTRY, GLOBAL_CHECK, STOCKS_EXIT</t>
        </is>
      </c>
      <c r="G108" s="0" t="inlineStr">
        <is>
          <t>DELTA_REENTRY_FILTER_ENABLED</t>
        </is>
      </c>
      <c r="H108" s="0" t="inlineStr">
        <is>
          <t>GENERAL</t>
        </is>
      </c>
      <c r="I108" s="0" t="inlineStr">
        <is>
          <t>LIVE — wired</t>
        </is>
      </c>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0" t="n">
        <v>26</v>
      </c>
      <c r="B109" s="0" t="inlineStr">
        <is>
          <t>DELTA_REENTRY_FILTER_ENABLED</t>
        </is>
      </c>
      <c r="C109" s="0" t="inlineStr">
        <is>
          <t>True</t>
        </is>
      </c>
      <c r="D109" s="0" t="inlineStr">
        <is>
          <t>When OFF, disables delta-based reentry gating. | Live read: `Y_REQUIRE_TREND', 'BTC_ENTRY_PRIMARY_REQUIRE_ACCEL_RAMP', 'BTC_ENTRY_PRIMARY_REQ`</t>
        </is>
      </c>
      <c r="E109" s="0" t="inlineStr">
        <is>
          <t>ENTRY, GLOBAL_CHECK, STOCKS_EXIT</t>
        </is>
      </c>
      <c r="F109" s="0" t="inlineStr">
        <is>
          <t>ENTRY, GLOBAL_CHECK, STOCKS_EXIT</t>
        </is>
      </c>
      <c r="G109" s="0" t="inlineStr">
        <is>
          <t>DELTA_REENTRY_FILTER_ENABLED</t>
        </is>
      </c>
      <c r="H109" s="0" t="inlineStr">
        <is>
          <t>GENERAL</t>
        </is>
      </c>
      <c r="I109" s="0" t="inlineStr">
        <is>
          <t>LIVE — wired</t>
        </is>
      </c>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0" t="n">
        <v>27</v>
      </c>
      <c r="B110" s="0" t="inlineStr">
        <is>
          <t>DUP_GUARD_FILTER_TF</t>
        </is>
      </c>
      <c r="C110" s="0" t="inlineStr">
        <is>
          <t>OFF</t>
        </is>
      </c>
      <c r="D110" s="0" t="inlineStr">
        <is>
          <t>Duplicate guard — prevents re-entering same signal on FILTER_TF. | Live read: `DIVERGENCE_REQUIRE_D_CONFIRM_BARS', 'BTC_HARD_BLOCK_OTHER_ACCOUNTS', 'BTC_REGIME`</t>
        </is>
      </c>
      <c r="E110" s="0" t="inlineStr">
        <is>
          <t>GLOBAL_CHECK</t>
        </is>
      </c>
      <c r="F110" s="0" t="inlineStr">
        <is>
          <t>GLOBAL_CHECK</t>
        </is>
      </c>
      <c r="G110" s="0" t="inlineStr">
        <is>
          <t>DUP_GUARD</t>
        </is>
      </c>
      <c r="H110" s="0" t="inlineStr">
        <is>
          <t>GENERAL — uniform</t>
        </is>
      </c>
      <c r="I110" s="0" t="inlineStr">
        <is>
          <t>LIVE — wired</t>
        </is>
      </c>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0" t="n">
        <v>27</v>
      </c>
      <c r="B111" s="0" t="inlineStr">
        <is>
          <t>DUP_GUARD_FILTER_TF</t>
        </is>
      </c>
      <c r="C111" s="0" t="inlineStr">
        <is>
          <t>D</t>
        </is>
      </c>
      <c r="D111" s="0" t="inlineStr">
        <is>
          <t>Duplicate guard — prevents re-entering same signal on FILTER_TF. | Live read: `DIVERGENCE_REQUIRE_D_CONFIRM_BARS', 'BTC_HARD_BLOCK_OTHER_ACCOUNTS', 'BTC_REGIME`</t>
        </is>
      </c>
      <c r="E111" s="0" t="inlineStr">
        <is>
          <t>GLOBAL_CHECK</t>
        </is>
      </c>
      <c r="F111" s="0" t="inlineStr">
        <is>
          <t>GLOBAL_CHECK</t>
        </is>
      </c>
      <c r="G111" s="0" t="inlineStr">
        <is>
          <t>DUP_GUARD</t>
        </is>
      </c>
      <c r="H111" s="0" t="inlineStr">
        <is>
          <t>GENERAL — uniform</t>
        </is>
      </c>
      <c r="I111" s="0" t="inlineStr">
        <is>
          <t>LIVE — wired</t>
        </is>
      </c>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0" t="n">
        <v>27</v>
      </c>
      <c r="B112" s="0" t="inlineStr">
        <is>
          <t>DUP_GUARD_FILTER_TF</t>
        </is>
      </c>
      <c r="C112" s="0" t="inlineStr">
        <is>
          <t>4h</t>
        </is>
      </c>
      <c r="D112" s="0" t="inlineStr">
        <is>
          <t>Duplicate guard — prevents re-entering same signal on FILTER_TF. | Live read: `DIVERGENCE_REQUIRE_D_CONFIRM_BARS', 'BTC_HARD_BLOCK_OTHER_ACCOUNTS', 'BTC_REGIME`</t>
        </is>
      </c>
      <c r="E112" s="0" t="inlineStr">
        <is>
          <t>GLOBAL_CHECK</t>
        </is>
      </c>
      <c r="F112" s="0" t="inlineStr">
        <is>
          <t>GLOBAL_CHECK</t>
        </is>
      </c>
      <c r="G112" s="0" t="inlineStr">
        <is>
          <t>DUP_GUARD</t>
        </is>
      </c>
      <c r="H112" s="0" t="inlineStr">
        <is>
          <t>GENERAL — uniform</t>
        </is>
      </c>
      <c r="I112" s="0" t="inlineStr">
        <is>
          <t>LIVE — wired</t>
        </is>
      </c>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0" t="n">
        <v>27</v>
      </c>
      <c r="B113" s="0" t="inlineStr">
        <is>
          <t>DUP_GUARD_FILTER_TF</t>
        </is>
      </c>
      <c r="C113" s="0" t="inlineStr">
        <is>
          <t>1h</t>
        </is>
      </c>
      <c r="D113" s="0" t="inlineStr">
        <is>
          <t>Duplicate guard — prevents re-entering same signal on FILTER_TF. | Live read: `DIVERGENCE_REQUIRE_D_CONFIRM_BARS', 'BTC_HARD_BLOCK_OTHER_ACCOUNTS', 'BTC_REGIME`</t>
        </is>
      </c>
      <c r="E113" s="0" t="inlineStr">
        <is>
          <t>GLOBAL_CHECK</t>
        </is>
      </c>
      <c r="F113" s="0" t="inlineStr">
        <is>
          <t>GLOBAL_CHECK</t>
        </is>
      </c>
      <c r="G113" s="0" t="inlineStr">
        <is>
          <t>DUP_GUARD</t>
        </is>
      </c>
      <c r="H113" s="0" t="inlineStr">
        <is>
          <t>GENERAL — uniform</t>
        </is>
      </c>
      <c r="I113" s="0" t="inlineStr">
        <is>
          <t>LIVE — wired</t>
        </is>
      </c>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0" t="n">
        <v>27</v>
      </c>
      <c r="B114" s="0" t="inlineStr">
        <is>
          <t>DUP_GUARD_FILTER_TF</t>
        </is>
      </c>
      <c r="C114" s="0" t="inlineStr">
        <is>
          <t>15m</t>
        </is>
      </c>
      <c r="D114" s="0" t="inlineStr">
        <is>
          <t>Duplicate guard — prevents re-entering same signal on FILTER_TF. | Live read: `DIVERGENCE_REQUIRE_D_CONFIRM_BARS', 'BTC_HARD_BLOCK_OTHER_ACCOUNTS', 'BTC_REGIME`</t>
        </is>
      </c>
      <c r="E114" s="0" t="inlineStr">
        <is>
          <t>GLOBAL_CHECK</t>
        </is>
      </c>
      <c r="F114" s="0" t="inlineStr">
        <is>
          <t>GLOBAL_CHECK</t>
        </is>
      </c>
      <c r="G114" s="0" t="inlineStr">
        <is>
          <t>DUP_GUARD</t>
        </is>
      </c>
      <c r="H114" s="0" t="inlineStr">
        <is>
          <t>GENERAL — uniform</t>
        </is>
      </c>
      <c r="I114" s="0" t="inlineStr">
        <is>
          <t>LIVE — wired</t>
        </is>
      </c>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0" t="n">
        <v>28</v>
      </c>
      <c r="B115" s="0" t="inlineStr">
        <is>
          <t>E2E_REPLAY_VALIDATOR_FILTER_TF</t>
        </is>
      </c>
      <c r="C115" s="0" t="inlineStr">
        <is>
          <t>OFF</t>
        </is>
      </c>
      <c r="D115" s="0" t="inlineStr">
        <is>
          <t>Dead/misnamed filter — no read in ez_manage/ez_positions_quick/tradier_manage. Appears 0x; likely legacy or typo.</t>
        </is>
      </c>
      <c r="E115" s="0" t="inlineStr">
        <is>
          <t>DEAD</t>
        </is>
      </c>
      <c r="F115" s="0" t="inlineStr">
        <is>
          <t>DEAD</t>
        </is>
      </c>
      <c r="G115" s="0" t="inlineStr">
        <is>
          <t>E2E_REPLAY_VALIDATOR</t>
        </is>
      </c>
      <c r="H115" s="0" t="inlineStr">
        <is>
          <t>SPECIFIC — only gated switches</t>
        </is>
      </c>
      <c r="I115" s="0" t="inlineStr">
        <is>
          <t>DEAD — REMOVE</t>
        </is>
      </c>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0" t="n">
        <v>28</v>
      </c>
      <c r="B116" s="0" t="inlineStr">
        <is>
          <t>E2E_REPLAY_VALIDATOR_FILTER_TF</t>
        </is>
      </c>
      <c r="C116" s="0" t="inlineStr">
        <is>
          <t>D</t>
        </is>
      </c>
      <c r="D116" s="0" t="inlineStr">
        <is>
          <t>Dead/misnamed filter — no read in ez_manage/ez_positions_quick/tradier_manage. Appears 0x; likely legacy or typo.</t>
        </is>
      </c>
      <c r="E116" s="0" t="inlineStr">
        <is>
          <t>DEAD</t>
        </is>
      </c>
      <c r="F116" s="0" t="inlineStr">
        <is>
          <t>DEAD</t>
        </is>
      </c>
      <c r="G116" s="0" t="inlineStr">
        <is>
          <t>E2E_REPLAY_VALIDATOR</t>
        </is>
      </c>
      <c r="H116" s="0" t="inlineStr">
        <is>
          <t>SPECIFIC — only gated switches</t>
        </is>
      </c>
      <c r="I116" s="0" t="inlineStr">
        <is>
          <t>DEAD — REMOVE</t>
        </is>
      </c>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0" t="n">
        <v>28</v>
      </c>
      <c r="B117" s="0" t="inlineStr">
        <is>
          <t>E2E_REPLAY_VALIDATOR_FILTER_TF</t>
        </is>
      </c>
      <c r="C117" s="0" t="inlineStr">
        <is>
          <t>4h</t>
        </is>
      </c>
      <c r="D117" s="0" t="inlineStr">
        <is>
          <t>Dead/misnamed filter — no read in ez_manage/ez_positions_quick/tradier_manage. Appears 0x; likely legacy or typo.</t>
        </is>
      </c>
      <c r="E117" s="0" t="inlineStr">
        <is>
          <t>DEAD</t>
        </is>
      </c>
      <c r="F117" s="0" t="inlineStr">
        <is>
          <t>DEAD</t>
        </is>
      </c>
      <c r="G117" s="0" t="inlineStr">
        <is>
          <t>E2E_REPLAY_VALIDATOR</t>
        </is>
      </c>
      <c r="H117" s="0" t="inlineStr">
        <is>
          <t>SPECIFIC — only gated switches</t>
        </is>
      </c>
      <c r="I117" s="0" t="inlineStr">
        <is>
          <t>DEAD — REMOVE</t>
        </is>
      </c>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0" t="n">
        <v>28</v>
      </c>
      <c r="B118" s="0" t="inlineStr">
        <is>
          <t>E2E_REPLAY_VALIDATOR_FILTER_TF</t>
        </is>
      </c>
      <c r="C118" s="0" t="inlineStr">
        <is>
          <t>1h</t>
        </is>
      </c>
      <c r="D118" s="0" t="inlineStr">
        <is>
          <t>Dead/misnamed filter — no read in ez_manage/ez_positions_quick/tradier_manage. Appears 0x; likely legacy or typo.</t>
        </is>
      </c>
      <c r="E118" s="0" t="inlineStr">
        <is>
          <t>DEAD</t>
        </is>
      </c>
      <c r="F118" s="0" t="inlineStr">
        <is>
          <t>DEAD</t>
        </is>
      </c>
      <c r="G118" s="0" t="inlineStr">
        <is>
          <t>E2E_REPLAY_VALIDATOR</t>
        </is>
      </c>
      <c r="H118" s="0" t="inlineStr">
        <is>
          <t>SPECIFIC — only gated switches</t>
        </is>
      </c>
      <c r="I118" s="0" t="inlineStr">
        <is>
          <t>DEAD — REMOVE</t>
        </is>
      </c>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0" t="n">
        <v>28</v>
      </c>
      <c r="B119" s="0" t="inlineStr">
        <is>
          <t>E2E_REPLAY_VALIDATOR_FILTER_TF</t>
        </is>
      </c>
      <c r="C119" s="0" t="inlineStr">
        <is>
          <t>15m</t>
        </is>
      </c>
      <c r="D119" s="0" t="inlineStr">
        <is>
          <t>Dead/misnamed filter — no read in ez_manage/ez_positions_quick/tradier_manage. Appears 0x; likely legacy or typo.</t>
        </is>
      </c>
      <c r="E119" s="0" t="inlineStr">
        <is>
          <t>DEAD</t>
        </is>
      </c>
      <c r="F119" s="0" t="inlineStr">
        <is>
          <t>DEAD</t>
        </is>
      </c>
      <c r="G119" s="0" t="inlineStr">
        <is>
          <t>E2E_REPLAY_VALIDATOR</t>
        </is>
      </c>
      <c r="H119" s="0" t="inlineStr">
        <is>
          <t>SPECIFIC — only gated switches</t>
        </is>
      </c>
      <c r="I119" s="0" t="inlineStr">
        <is>
          <t>DEAD — REMOVE</t>
        </is>
      </c>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0" t="n">
        <v>29</v>
      </c>
      <c r="B120" s="0" t="inlineStr">
        <is>
          <t>EMA_9_21_FILTER_FILTER_TF</t>
        </is>
      </c>
      <c r="C120" s="0" t="inlineStr">
        <is>
          <t>OFF</t>
        </is>
      </c>
      <c r="D120" s="0" t="inlineStr">
        <is>
          <t>EMA 9/21 cross filter on FILTER_TF. | Live read: `NFIRM_BARS', 'BTC_HARD_BLOCK_OTHER_ACCOUNTS', 'BTC_REGIME_PAUSE_ENABLED', 'BTC_R`</t>
        </is>
      </c>
      <c r="E120" s="0" t="inlineStr">
        <is>
          <t>GLOBAL_CHECK</t>
        </is>
      </c>
      <c r="F120" s="0" t="inlineStr">
        <is>
          <t>GLOBAL_CHECK</t>
        </is>
      </c>
      <c r="G120" s="0" t="inlineStr">
        <is>
          <t>EMA_9_21_FILTER</t>
        </is>
      </c>
      <c r="H120" s="0" t="inlineStr">
        <is>
          <t>SPECIFIC — only gated switches</t>
        </is>
      </c>
      <c r="I120" s="0" t="inlineStr">
        <is>
          <t>LIVE — wired</t>
        </is>
      </c>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0" t="n">
        <v>29</v>
      </c>
      <c r="B121" s="0" t="inlineStr">
        <is>
          <t>EMA_9_21_FILTER_FILTER_TF</t>
        </is>
      </c>
      <c r="C121" s="0" t="inlineStr">
        <is>
          <t>D</t>
        </is>
      </c>
      <c r="D121" s="0" t="inlineStr">
        <is>
          <t>EMA 9/21 cross filter on FILTER_TF. | Live read: `NFIRM_BARS', 'BTC_HARD_BLOCK_OTHER_ACCOUNTS', 'BTC_REGIME_PAUSE_ENABLED', 'BTC_R`</t>
        </is>
      </c>
      <c r="E121" s="0" t="inlineStr">
        <is>
          <t>GLOBAL_CHECK</t>
        </is>
      </c>
      <c r="F121" s="0" t="inlineStr">
        <is>
          <t>GLOBAL_CHECK</t>
        </is>
      </c>
      <c r="G121" s="0" t="inlineStr">
        <is>
          <t>EMA_9_21_FILTER</t>
        </is>
      </c>
      <c r="H121" s="0" t="inlineStr">
        <is>
          <t>SPECIFIC — only gated switches</t>
        </is>
      </c>
      <c r="I121" s="0" t="inlineStr">
        <is>
          <t>LIVE — wired</t>
        </is>
      </c>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0" t="n">
        <v>29</v>
      </c>
      <c r="B122" s="0" t="inlineStr">
        <is>
          <t>EMA_9_21_FILTER_FILTER_TF</t>
        </is>
      </c>
      <c r="C122" s="0" t="inlineStr">
        <is>
          <t>4h</t>
        </is>
      </c>
      <c r="D122" s="0" t="inlineStr">
        <is>
          <t>EMA 9/21 cross filter on FILTER_TF. | Live read: `NFIRM_BARS', 'BTC_HARD_BLOCK_OTHER_ACCOUNTS', 'BTC_REGIME_PAUSE_ENABLED', 'BTC_R`</t>
        </is>
      </c>
      <c r="E122" s="0" t="inlineStr">
        <is>
          <t>GLOBAL_CHECK</t>
        </is>
      </c>
      <c r="F122" s="0" t="inlineStr">
        <is>
          <t>GLOBAL_CHECK</t>
        </is>
      </c>
      <c r="G122" s="0" t="inlineStr">
        <is>
          <t>EMA_9_21_FILTER</t>
        </is>
      </c>
      <c r="H122" s="0" t="inlineStr">
        <is>
          <t>SPECIFIC — only gated switches</t>
        </is>
      </c>
      <c r="I122" s="0" t="inlineStr">
        <is>
          <t>LIVE — wired</t>
        </is>
      </c>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0" t="n">
        <v>29</v>
      </c>
      <c r="B123" s="0" t="inlineStr">
        <is>
          <t>EMA_9_21_FILTER_FILTER_TF</t>
        </is>
      </c>
      <c r="C123" s="0" t="inlineStr">
        <is>
          <t>1h</t>
        </is>
      </c>
      <c r="D123" s="0" t="inlineStr">
        <is>
          <t>EMA 9/21 cross filter on FILTER_TF. | Live read: `NFIRM_BARS', 'BTC_HARD_BLOCK_OTHER_ACCOUNTS', 'BTC_REGIME_PAUSE_ENABLED', 'BTC_R`</t>
        </is>
      </c>
      <c r="E123" s="0" t="inlineStr">
        <is>
          <t>GLOBAL_CHECK</t>
        </is>
      </c>
      <c r="F123" s="0" t="inlineStr">
        <is>
          <t>GLOBAL_CHECK</t>
        </is>
      </c>
      <c r="G123" s="0" t="inlineStr">
        <is>
          <t>EMA_9_21_FILTER</t>
        </is>
      </c>
      <c r="H123" s="0" t="inlineStr">
        <is>
          <t>SPECIFIC — only gated switches</t>
        </is>
      </c>
      <c r="I123" s="0" t="inlineStr">
        <is>
          <t>LIVE — wired</t>
        </is>
      </c>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0" t="n">
        <v>29</v>
      </c>
      <c r="B124" s="0" t="inlineStr">
        <is>
          <t>EMA_9_21_FILTER_FILTER_TF</t>
        </is>
      </c>
      <c r="C124" s="0" t="inlineStr">
        <is>
          <t>15m</t>
        </is>
      </c>
      <c r="D124" s="0" t="inlineStr">
        <is>
          <t>EMA 9/21 cross filter on FILTER_TF. | Live read: `NFIRM_BARS', 'BTC_HARD_BLOCK_OTHER_ACCOUNTS', 'BTC_REGIME_PAUSE_ENABLED', 'BTC_R`</t>
        </is>
      </c>
      <c r="E124" s="0" t="inlineStr">
        <is>
          <t>GLOBAL_CHECK</t>
        </is>
      </c>
      <c r="F124" s="0" t="inlineStr">
        <is>
          <t>GLOBAL_CHECK</t>
        </is>
      </c>
      <c r="G124" s="0" t="inlineStr">
        <is>
          <t>EMA_9_21_FILTER</t>
        </is>
      </c>
      <c r="H124" s="0" t="inlineStr">
        <is>
          <t>SPECIFIC — only gated switches</t>
        </is>
      </c>
      <c r="I124" s="0" t="inlineStr">
        <is>
          <t>LIVE — wired</t>
        </is>
      </c>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0" t="n">
        <v>30</v>
      </c>
      <c r="B125" s="0" t="inlineStr">
        <is>
          <t>EMA_9_21_FILTER_MIN_TFS</t>
        </is>
      </c>
      <c r="C125" s="0" t="inlineStr">
        <is>
          <t>0</t>
        </is>
      </c>
      <c r="D125" s="0" t="inlineStr">
        <is>
          <t>Threshold/gate: EMA_9_21_FILTER_MIN_TFS — OTHER_ACCOUNTS', 'BTC_REGIME_PAUSE_ENABLED', 'BTC_REVERSE_REQUIRE_HTF_ALIGNED', 'BTC_ROUND_BANDS_EACH_SIDE', 'BT_WT_CROS | ex: `OTHER_ACCOUNTS', 'BTC_REGIME_PAUSE_ENABLED', 'BTC_REVERSE_REQUIRE_HTF_ALIGNED', `</t>
        </is>
      </c>
      <c r="E125" s="0" t="inlineStr">
        <is>
          <t>GLOBAL_CHECK</t>
        </is>
      </c>
      <c r="F125" s="0" t="inlineStr">
        <is>
          <t>GLOBAL_CHECK</t>
        </is>
      </c>
      <c r="G125" s="0" t="inlineStr">
        <is>
          <t>EMA_9_21_FILTER_MIN_TFS</t>
        </is>
      </c>
      <c r="H125" s="0" t="inlineStr">
        <is>
          <t>GENERAL</t>
        </is>
      </c>
      <c r="I125" s="0" t="inlineStr">
        <is>
          <t>LIVE — wired</t>
        </is>
      </c>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0" t="n">
        <v>30</v>
      </c>
      <c r="B126" s="0" t="inlineStr">
        <is>
          <t>EMA_9_21_FILTER_MIN_TFS</t>
        </is>
      </c>
      <c r="C126" s="0" t="inlineStr">
        <is>
          <t>2</t>
        </is>
      </c>
      <c r="D126" s="0" t="inlineStr">
        <is>
          <t>Threshold/gate: EMA_9_21_FILTER_MIN_TFS — OTHER_ACCOUNTS', 'BTC_REGIME_PAUSE_ENABLED', 'BTC_REVERSE_REQUIRE_HTF_ALIGNED', 'BTC_ROUND_BANDS_EACH_SIDE', 'BT_WT_CROS | ex: `OTHER_ACCOUNTS', 'BTC_REGIME_PAUSE_ENABLED', 'BTC_REVERSE_REQUIRE_HTF_ALIGNED', `</t>
        </is>
      </c>
      <c r="E126" s="0" t="inlineStr">
        <is>
          <t>GLOBAL_CHECK</t>
        </is>
      </c>
      <c r="F126" s="0" t="inlineStr">
        <is>
          <t>GLOBAL_CHECK</t>
        </is>
      </c>
      <c r="G126" s="0" t="inlineStr">
        <is>
          <t>EMA_9_21_FILTER_MIN_TFS</t>
        </is>
      </c>
      <c r="H126" s="0" t="inlineStr">
        <is>
          <t>GENERAL</t>
        </is>
      </c>
      <c r="I126" s="0" t="inlineStr">
        <is>
          <t>LIVE — wired</t>
        </is>
      </c>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0" t="n">
        <v>30</v>
      </c>
      <c r="B127" s="0" t="inlineStr">
        <is>
          <t>EMA_9_21_FILTER_MIN_TFS</t>
        </is>
      </c>
      <c r="C127" s="0" t="inlineStr">
        <is>
          <t>1</t>
        </is>
      </c>
      <c r="D127" s="0" t="inlineStr">
        <is>
          <t>Threshold/gate: EMA_9_21_FILTER_MIN_TFS — OTHER_ACCOUNTS', 'BTC_REGIME_PAUSE_ENABLED', 'BTC_REVERSE_REQUIRE_HTF_ALIGNED', 'BTC_ROUND_BANDS_EACH_SIDE', 'BT_WT_CROS | ex: `OTHER_ACCOUNTS', 'BTC_REGIME_PAUSE_ENABLED', 'BTC_REVERSE_REQUIRE_HTF_ALIGNED', `</t>
        </is>
      </c>
      <c r="E127" s="0" t="inlineStr">
        <is>
          <t>GLOBAL_CHECK</t>
        </is>
      </c>
      <c r="F127" s="0" t="inlineStr">
        <is>
          <t>GLOBAL_CHECK</t>
        </is>
      </c>
      <c r="G127" s="0" t="inlineStr">
        <is>
          <t>EMA_9_21_FILTER_MIN_TFS</t>
        </is>
      </c>
      <c r="H127" s="0" t="inlineStr">
        <is>
          <t>GENERAL</t>
        </is>
      </c>
      <c r="I127" s="0" t="inlineStr">
        <is>
          <t>LIVE — wired</t>
        </is>
      </c>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0" t="n">
        <v>31</v>
      </c>
      <c r="B128" s="0" t="inlineStr">
        <is>
          <t>EMA_BLANKET_FILTER_ENABLED</t>
        </is>
      </c>
      <c r="C128" s="0" t="inlineStr">
        <is>
          <t>False</t>
        </is>
      </c>
      <c r="D128" s="0" t="inlineStr">
        <is>
          <t>Blanket EMA filter (price above/below EMA blanket). | Live read: `E_PAUSE_ENABLED', 'BTC_REVERSE_REQUIRE_HTF_ALIGNED', 'BTC_ROUND_BANDS_EACH_SIDE'`</t>
        </is>
      </c>
      <c r="E128" s="0" t="inlineStr">
        <is>
          <t>GLOBAL_CHECK</t>
        </is>
      </c>
      <c r="F128" s="0" t="inlineStr">
        <is>
          <t>GLOBAL_CHECK</t>
        </is>
      </c>
      <c r="G128" s="0" t="inlineStr">
        <is>
          <t>EMA_BLANKET_FILTER_ENABLED</t>
        </is>
      </c>
      <c r="H128" s="0" t="inlineStr">
        <is>
          <t>GENERAL</t>
        </is>
      </c>
      <c r="I128" s="0" t="inlineStr">
        <is>
          <t>LIVE — wired</t>
        </is>
      </c>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0" t="n">
        <v>31</v>
      </c>
      <c r="B129" s="0" t="inlineStr">
        <is>
          <t>EMA_BLANKET_FILTER_ENABLED</t>
        </is>
      </c>
      <c r="C129" s="0" t="inlineStr">
        <is>
          <t>True</t>
        </is>
      </c>
      <c r="D129" s="0" t="inlineStr">
        <is>
          <t>Blanket EMA filter (price above/below EMA blanket). | Live read: `E_PAUSE_ENABLED', 'BTC_REVERSE_REQUIRE_HTF_ALIGNED', 'BTC_ROUND_BANDS_EACH_SIDE'`</t>
        </is>
      </c>
      <c r="E129" s="0" t="inlineStr">
        <is>
          <t>GLOBAL_CHECK</t>
        </is>
      </c>
      <c r="F129" s="0" t="inlineStr">
        <is>
          <t>GLOBAL_CHECK</t>
        </is>
      </c>
      <c r="G129" s="0" t="inlineStr">
        <is>
          <t>EMA_BLANKET_FILTER_ENABLED</t>
        </is>
      </c>
      <c r="H129" s="0" t="inlineStr">
        <is>
          <t>GENERAL</t>
        </is>
      </c>
      <c r="I129" s="0" t="inlineStr">
        <is>
          <t>LIVE — wired</t>
        </is>
      </c>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0" t="n">
        <v>32</v>
      </c>
      <c r="B130" s="0" t="inlineStr">
        <is>
          <t>EMA_BLANKET_FILTER_FILTER_TF</t>
        </is>
      </c>
      <c r="C130" s="0" t="inlineStr">
        <is>
          <t>OFF</t>
        </is>
      </c>
      <c r="D130"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0" t="inlineStr">
        <is>
          <t>GLOBAL_CHECK</t>
        </is>
      </c>
      <c r="F130" s="0" t="inlineStr">
        <is>
          <t>GLOBAL_CHECK</t>
        </is>
      </c>
      <c r="G130" s="0" t="inlineStr">
        <is>
          <t>EMA_BLANKET_FILTER</t>
        </is>
      </c>
      <c r="H130" s="0" t="inlineStr">
        <is>
          <t>SPECIFIC — only gated switches</t>
        </is>
      </c>
      <c r="I130" s="0" t="inlineStr">
        <is>
          <t>LIVE — wired</t>
        </is>
      </c>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0" t="n">
        <v>32</v>
      </c>
      <c r="B131" s="0" t="inlineStr">
        <is>
          <t>EMA_BLANKET_FILTER_FILTER_TF</t>
        </is>
      </c>
      <c r="C131" s="0" t="inlineStr">
        <is>
          <t>D</t>
        </is>
      </c>
      <c r="D131"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0" t="inlineStr">
        <is>
          <t>GLOBAL_CHECK</t>
        </is>
      </c>
      <c r="F131" s="0" t="inlineStr">
        <is>
          <t>GLOBAL_CHECK</t>
        </is>
      </c>
      <c r="G131" s="0" t="inlineStr">
        <is>
          <t>EMA_BLANKET_FILTER</t>
        </is>
      </c>
      <c r="H131" s="0" t="inlineStr">
        <is>
          <t>SPECIFIC — only gated switches</t>
        </is>
      </c>
      <c r="I131" s="0" t="inlineStr">
        <is>
          <t>LIVE — wired</t>
        </is>
      </c>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0" t="n">
        <v>32</v>
      </c>
      <c r="B132" s="0" t="inlineStr">
        <is>
          <t>EMA_BLANKET_FILTER_FILTER_TF</t>
        </is>
      </c>
      <c r="C132" s="0" t="inlineStr">
        <is>
          <t>4h</t>
        </is>
      </c>
      <c r="D132"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0" t="inlineStr">
        <is>
          <t>GLOBAL_CHECK</t>
        </is>
      </c>
      <c r="F132" s="0" t="inlineStr">
        <is>
          <t>GLOBAL_CHECK</t>
        </is>
      </c>
      <c r="G132" s="0" t="inlineStr">
        <is>
          <t>EMA_BLANKET_FILTER</t>
        </is>
      </c>
      <c r="H132" s="0" t="inlineStr">
        <is>
          <t>SPECIFIC — only gated switches</t>
        </is>
      </c>
      <c r="I132" s="0" t="inlineStr">
        <is>
          <t>LIVE — wired</t>
        </is>
      </c>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0" t="n">
        <v>32</v>
      </c>
      <c r="B133" s="0" t="inlineStr">
        <is>
          <t>EMA_BLANKET_FILTER_FILTER_TF</t>
        </is>
      </c>
      <c r="C133" s="0" t="inlineStr">
        <is>
          <t>1h</t>
        </is>
      </c>
      <c r="D133"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0" t="inlineStr">
        <is>
          <t>GLOBAL_CHECK</t>
        </is>
      </c>
      <c r="F133" s="0" t="inlineStr">
        <is>
          <t>GLOBAL_CHECK</t>
        </is>
      </c>
      <c r="G133" s="0" t="inlineStr">
        <is>
          <t>EMA_BLANKET_FILTER</t>
        </is>
      </c>
      <c r="H133" s="0" t="inlineStr">
        <is>
          <t>SPECIFIC — only gated switches</t>
        </is>
      </c>
      <c r="I133" s="0" t="inlineStr">
        <is>
          <t>LIVE — wired</t>
        </is>
      </c>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0" t="n">
        <v>32</v>
      </c>
      <c r="B134" s="0" t="inlineStr">
        <is>
          <t>EMA_BLANKET_FILTER_FILTER_TF</t>
        </is>
      </c>
      <c r="C134" s="0" t="inlineStr">
        <is>
          <t>15m</t>
        </is>
      </c>
      <c r="D134"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0" t="inlineStr">
        <is>
          <t>GLOBAL_CHECK</t>
        </is>
      </c>
      <c r="F134" s="0" t="inlineStr">
        <is>
          <t>GLOBAL_CHECK</t>
        </is>
      </c>
      <c r="G134" s="0" t="inlineStr">
        <is>
          <t>EMA_BLANKET_FILTER</t>
        </is>
      </c>
      <c r="H134" s="0" t="inlineStr">
        <is>
          <t>SPECIFIC — only gated switches</t>
        </is>
      </c>
      <c r="I134" s="0" t="inlineStr">
        <is>
          <t>LIVE — wired</t>
        </is>
      </c>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0" t="n">
        <v>33</v>
      </c>
      <c r="B135" s="0" t="inlineStr">
        <is>
          <t>EMA_BLANKET_FILTER_MIN_TFS</t>
        </is>
      </c>
      <c r="C135" s="0" t="inlineStr">
        <is>
          <t>0</t>
        </is>
      </c>
      <c r="D135" s="0" t="inlineStr">
        <is>
          <t>Threshold/gate: EMA_BLANKET_FILTER_MIN_TFS — D_BANDS_EACH_SIDE', 'BT_WT_CROSS_LADDER_FILTER_TF', 'CIRCUIT_SHARPE_GATES_ENABLED', 'CIRCUIT_SHARPE_GATES_FILTER_TF', 'C | ex: `D_BANDS_EACH_SIDE', 'BT_WT_CROSS_LADDER_FILTER_TF', 'CIRCUIT_SHARPE_GATES_ENABLE`</t>
        </is>
      </c>
      <c r="E135" s="0" t="inlineStr">
        <is>
          <t>GLOBAL_CHECK</t>
        </is>
      </c>
      <c r="F135" s="0" t="inlineStr">
        <is>
          <t>GLOBAL_CHECK</t>
        </is>
      </c>
      <c r="G135" s="0" t="inlineStr">
        <is>
          <t>EMA_BLANKET_FILTER_MIN_TFS</t>
        </is>
      </c>
      <c r="H135" s="0" t="inlineStr">
        <is>
          <t>GENERAL</t>
        </is>
      </c>
      <c r="I135" s="0" t="inlineStr">
        <is>
          <t>LIVE — wired</t>
        </is>
      </c>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0" t="n">
        <v>33</v>
      </c>
      <c r="B136" s="0" t="inlineStr">
        <is>
          <t>EMA_BLANKET_FILTER_MIN_TFS</t>
        </is>
      </c>
      <c r="C136" s="0" t="inlineStr">
        <is>
          <t>2</t>
        </is>
      </c>
      <c r="D136" s="0" t="inlineStr">
        <is>
          <t>Threshold/gate: EMA_BLANKET_FILTER_MIN_TFS — D_BANDS_EACH_SIDE', 'BT_WT_CROSS_LADDER_FILTER_TF', 'CIRCUIT_SHARPE_GATES_ENABLED', 'CIRCUIT_SHARPE_GATES_FILTER_TF', 'C | ex: `D_BANDS_EACH_SIDE', 'BT_WT_CROSS_LADDER_FILTER_TF', 'CIRCUIT_SHARPE_GATES_ENABLE`</t>
        </is>
      </c>
      <c r="E136" s="0" t="inlineStr">
        <is>
          <t>GLOBAL_CHECK</t>
        </is>
      </c>
      <c r="F136" s="0" t="inlineStr">
        <is>
          <t>GLOBAL_CHECK</t>
        </is>
      </c>
      <c r="G136" s="0" t="inlineStr">
        <is>
          <t>EMA_BLANKET_FILTER_MIN_TFS</t>
        </is>
      </c>
      <c r="H136" s="0" t="inlineStr">
        <is>
          <t>GENERAL</t>
        </is>
      </c>
      <c r="I136" s="0" t="inlineStr">
        <is>
          <t>LIVE — wired</t>
        </is>
      </c>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0" t="n">
        <v>33</v>
      </c>
      <c r="B137" s="0" t="inlineStr">
        <is>
          <t>EMA_BLANKET_FILTER_MIN_TFS</t>
        </is>
      </c>
      <c r="C137" s="0" t="inlineStr">
        <is>
          <t>1</t>
        </is>
      </c>
      <c r="D137" s="0" t="inlineStr">
        <is>
          <t>Threshold/gate: EMA_BLANKET_FILTER_MIN_TFS — D_BANDS_EACH_SIDE', 'BT_WT_CROSS_LADDER_FILTER_TF', 'CIRCUIT_SHARPE_GATES_ENABLED', 'CIRCUIT_SHARPE_GATES_FILTER_TF', 'C | ex: `D_BANDS_EACH_SIDE', 'BT_WT_CROSS_LADDER_FILTER_TF', 'CIRCUIT_SHARPE_GATES_ENABLE`</t>
        </is>
      </c>
      <c r="E137" s="0" t="inlineStr">
        <is>
          <t>GLOBAL_CHECK</t>
        </is>
      </c>
      <c r="F137" s="0" t="inlineStr">
        <is>
          <t>GLOBAL_CHECK</t>
        </is>
      </c>
      <c r="G137" s="0" t="inlineStr">
        <is>
          <t>EMA_BLANKET_FILTER_MIN_TFS</t>
        </is>
      </c>
      <c r="H137" s="0" t="inlineStr">
        <is>
          <t>GENERAL</t>
        </is>
      </c>
      <c r="I137" s="0" t="inlineStr">
        <is>
          <t>LIVE — wired</t>
        </is>
      </c>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0" t="n">
        <v>34</v>
      </c>
      <c r="B138" s="0" t="inlineStr">
        <is>
          <t>EMERGENCY_BRAKE_FILTER_TF</t>
        </is>
      </c>
      <c r="C138" s="0" t="inlineStr">
        <is>
          <t>OFF</t>
        </is>
      </c>
      <c r="D138" s="0" t="inlineStr">
        <is>
          <t>Emergency brake (kill switch) confirmation TF. | Live read: `SS_LADDER_FILTER_TF', 'CIRCUIT_SHARPE_GATES_ENABLED', 'CIRCUIT_SHARPE_GATES_FILT`</t>
        </is>
      </c>
      <c r="E138" s="0" t="inlineStr">
        <is>
          <t>GLOBAL_CHECK</t>
        </is>
      </c>
      <c r="F138" s="0" t="inlineStr">
        <is>
          <t>GLOBAL_CHECK</t>
        </is>
      </c>
      <c r="G138" s="0" t="inlineStr">
        <is>
          <t>EMERGENCY_BRAKE</t>
        </is>
      </c>
      <c r="H138" s="0" t="inlineStr">
        <is>
          <t>SPECIFIC — only gated switches</t>
        </is>
      </c>
      <c r="I138" s="0" t="inlineStr">
        <is>
          <t>LIVE — wired</t>
        </is>
      </c>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0" t="n">
        <v>34</v>
      </c>
      <c r="B139" s="0" t="inlineStr">
        <is>
          <t>EMERGENCY_BRAKE_FILTER_TF</t>
        </is>
      </c>
      <c r="C139" s="0" t="inlineStr">
        <is>
          <t>D</t>
        </is>
      </c>
      <c r="D139" s="0" t="inlineStr">
        <is>
          <t>Emergency brake (kill switch) confirmation TF. | Live read: `SS_LADDER_FILTER_TF', 'CIRCUIT_SHARPE_GATES_ENABLED', 'CIRCUIT_SHARPE_GATES_FILT`</t>
        </is>
      </c>
      <c r="E139" s="0" t="inlineStr">
        <is>
          <t>GLOBAL_CHECK</t>
        </is>
      </c>
      <c r="F139" s="0" t="inlineStr">
        <is>
          <t>GLOBAL_CHECK</t>
        </is>
      </c>
      <c r="G139" s="0" t="inlineStr">
        <is>
          <t>EMERGENCY_BRAKE</t>
        </is>
      </c>
      <c r="H139" s="0" t="inlineStr">
        <is>
          <t>SPECIFIC — only gated switches</t>
        </is>
      </c>
      <c r="I139" s="0" t="inlineStr">
        <is>
          <t>LIVE — wired</t>
        </is>
      </c>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0" t="n">
        <v>34</v>
      </c>
      <c r="B140" s="0" t="inlineStr">
        <is>
          <t>EMERGENCY_BRAKE_FILTER_TF</t>
        </is>
      </c>
      <c r="C140" s="0" t="inlineStr">
        <is>
          <t>4h</t>
        </is>
      </c>
      <c r="D140" s="0" t="inlineStr">
        <is>
          <t>Emergency brake (kill switch) confirmation TF. | Live read: `SS_LADDER_FILTER_TF', 'CIRCUIT_SHARPE_GATES_ENABLED', 'CIRCUIT_SHARPE_GATES_FILT`</t>
        </is>
      </c>
      <c r="E140" s="0" t="inlineStr">
        <is>
          <t>GLOBAL_CHECK</t>
        </is>
      </c>
      <c r="F140" s="0" t="inlineStr">
        <is>
          <t>GLOBAL_CHECK</t>
        </is>
      </c>
      <c r="G140" s="0" t="inlineStr">
        <is>
          <t>EMERGENCY_BRAKE</t>
        </is>
      </c>
      <c r="H140" s="0" t="inlineStr">
        <is>
          <t>SPECIFIC — only gated switches</t>
        </is>
      </c>
      <c r="I140" s="0" t="inlineStr">
        <is>
          <t>LIVE — wired</t>
        </is>
      </c>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0" t="n">
        <v>34</v>
      </c>
      <c r="B141" s="0" t="inlineStr">
        <is>
          <t>EMERGENCY_BRAKE_FILTER_TF</t>
        </is>
      </c>
      <c r="C141" s="0" t="inlineStr">
        <is>
          <t>1h</t>
        </is>
      </c>
      <c r="D141" s="0" t="inlineStr">
        <is>
          <t>Emergency brake (kill switch) confirmation TF. | Live read: `SS_LADDER_FILTER_TF', 'CIRCUIT_SHARPE_GATES_ENABLED', 'CIRCUIT_SHARPE_GATES_FILT`</t>
        </is>
      </c>
      <c r="E141" s="0" t="inlineStr">
        <is>
          <t>GLOBAL_CHECK</t>
        </is>
      </c>
      <c r="F141" s="0" t="inlineStr">
        <is>
          <t>GLOBAL_CHECK</t>
        </is>
      </c>
      <c r="G141" s="0" t="inlineStr">
        <is>
          <t>EMERGENCY_BRAKE</t>
        </is>
      </c>
      <c r="H141" s="0" t="inlineStr">
        <is>
          <t>SPECIFIC — only gated switches</t>
        </is>
      </c>
      <c r="I141" s="0" t="inlineStr">
        <is>
          <t>LIVE — wired</t>
        </is>
      </c>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0" t="n">
        <v>34</v>
      </c>
      <c r="B142" s="0" t="inlineStr">
        <is>
          <t>EMERGENCY_BRAKE_FILTER_TF</t>
        </is>
      </c>
      <c r="C142" s="0" t="inlineStr">
        <is>
          <t>15m</t>
        </is>
      </c>
      <c r="D142" s="0" t="inlineStr">
        <is>
          <t>Emergency brake (kill switch) confirmation TF. | Live read: `SS_LADDER_FILTER_TF', 'CIRCUIT_SHARPE_GATES_ENABLED', 'CIRCUIT_SHARPE_GATES_FILT`</t>
        </is>
      </c>
      <c r="E142" s="0" t="inlineStr">
        <is>
          <t>GLOBAL_CHECK</t>
        </is>
      </c>
      <c r="F142" s="0" t="inlineStr">
        <is>
          <t>GLOBAL_CHECK</t>
        </is>
      </c>
      <c r="G142" s="0" t="inlineStr">
        <is>
          <t>EMERGENCY_BRAKE</t>
        </is>
      </c>
      <c r="H142" s="0" t="inlineStr">
        <is>
          <t>SPECIFIC — only gated switches</t>
        </is>
      </c>
      <c r="I142" s="0" t="inlineStr">
        <is>
          <t>LIVE — wired</t>
        </is>
      </c>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0" t="n">
        <v>35</v>
      </c>
      <c r="B143" s="0" t="inlineStr">
        <is>
          <t>EXECUTE_NOW_SINGLE_GATE_ENFORCE</t>
        </is>
      </c>
      <c r="C143" s="0" t="inlineStr">
        <is>
          <t>0.0</t>
        </is>
      </c>
      <c r="D143" s="0" t="inlineStr">
        <is>
          <t>Enforces single-gate through execute_now (THE ONLY gate). | Live read: `'EXECUTE_NOW_SINGLE_GATE_ENFORCE', 'EXECUTE_NOW_WIRE_TRIPWIRE_MAX_LAG_S', 'EXECU`</t>
        </is>
      </c>
      <c r="E143" s="0" t="inlineStr">
        <is>
          <t>ENTRY, GLOBAL_CHECK, STOCKS_EXIT</t>
        </is>
      </c>
      <c r="F143" s="0" t="inlineStr">
        <is>
          <t>ENTRY, GLOBAL_CHECK, STOCKS_EXIT</t>
        </is>
      </c>
      <c r="G143" s="0" t="inlineStr">
        <is>
          <t>EXECUTE_NOW_SINGLE_GATE_ENFORCE</t>
        </is>
      </c>
      <c r="H143" s="0" t="inlineStr">
        <is>
          <t>GENERAL</t>
        </is>
      </c>
      <c r="I143" s="0" t="inlineStr">
        <is>
          <t>LIVE — wired</t>
        </is>
      </c>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0" t="n">
        <v>35</v>
      </c>
      <c r="B144" s="0" t="inlineStr">
        <is>
          <t>EXECUTE_NOW_SINGLE_GATE_ENFORCE</t>
        </is>
      </c>
      <c r="C144" s="0" t="inlineStr">
        <is>
          <t>0.0_ALT</t>
        </is>
      </c>
      <c r="D144" s="0" t="inlineStr">
        <is>
          <t>Enforces single-gate through execute_now (THE ONLY gate). | Live read: `'EXECUTE_NOW_SINGLE_GATE_ENFORCE', 'EXECUTE_NOW_WIRE_TRIPWIRE_MAX_LAG_S', 'EXECU`</t>
        </is>
      </c>
      <c r="E144" s="0" t="inlineStr">
        <is>
          <t>ENTRY, GLOBAL_CHECK, STOCKS_EXIT</t>
        </is>
      </c>
      <c r="F144" s="0" t="inlineStr">
        <is>
          <t>ENTRY, GLOBAL_CHECK, STOCKS_EXIT</t>
        </is>
      </c>
      <c r="G144" s="0" t="inlineStr">
        <is>
          <t>EXECUTE_NOW_SINGLE_GATE_ENFORCE</t>
        </is>
      </c>
      <c r="H144" s="0" t="inlineStr">
        <is>
          <t>GENERAL</t>
        </is>
      </c>
      <c r="I144" s="0" t="inlineStr">
        <is>
          <t>LIVE — wired</t>
        </is>
      </c>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0" t="n">
        <v>36</v>
      </c>
      <c r="B145" s="0" t="inlineStr">
        <is>
          <t>EXHAUSTION_EXIT_FILTER_TF</t>
        </is>
      </c>
      <c r="C145" s="0" t="inlineStr">
        <is>
          <t>OFF</t>
        </is>
      </c>
      <c r="D145" s="0" t="inlineStr">
        <is>
          <t>Dead/misnamed filter — no read in ez_manage/ez_positions_quick/tradier_manage. Appears 0x; likely legacy or typo.</t>
        </is>
      </c>
      <c r="E145" s="0" t="inlineStr">
        <is>
          <t>DEAD</t>
        </is>
      </c>
      <c r="F145" s="0" t="inlineStr">
        <is>
          <t>DEAD</t>
        </is>
      </c>
      <c r="G145" s="0" t="inlineStr">
        <is>
          <t>EXHAUSTION_EXIT</t>
        </is>
      </c>
      <c r="H145" s="0" t="inlineStr">
        <is>
          <t>SPECIFIC — only gated switches</t>
        </is>
      </c>
      <c r="I145" s="0" t="inlineStr">
        <is>
          <t>DEAD — REMOVE</t>
        </is>
      </c>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0" t="n">
        <v>36</v>
      </c>
      <c r="B146" s="0" t="inlineStr">
        <is>
          <t>EXHAUSTION_EXIT_FILTER_TF</t>
        </is>
      </c>
      <c r="C146" s="0" t="inlineStr">
        <is>
          <t>D</t>
        </is>
      </c>
      <c r="D146" s="0" t="inlineStr">
        <is>
          <t>Dead/misnamed filter — no read in ez_manage/ez_positions_quick/tradier_manage. Appears 0x; likely legacy or typo.</t>
        </is>
      </c>
      <c r="E146" s="0" t="inlineStr">
        <is>
          <t>DEAD</t>
        </is>
      </c>
      <c r="F146" s="0" t="inlineStr">
        <is>
          <t>DEAD</t>
        </is>
      </c>
      <c r="G146" s="0" t="inlineStr">
        <is>
          <t>EXHAUSTION_EXIT</t>
        </is>
      </c>
      <c r="H146" s="0" t="inlineStr">
        <is>
          <t>SPECIFIC — only gated switches</t>
        </is>
      </c>
      <c r="I146" s="0" t="inlineStr">
        <is>
          <t>DEAD — REMOVE</t>
        </is>
      </c>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0" t="n">
        <v>36</v>
      </c>
      <c r="B147" s="0" t="inlineStr">
        <is>
          <t>EXHAUSTION_EXIT_FILTER_TF</t>
        </is>
      </c>
      <c r="C147" s="0" t="inlineStr">
        <is>
          <t>4h</t>
        </is>
      </c>
      <c r="D147" s="0" t="inlineStr">
        <is>
          <t>Dead/misnamed filter — no read in ez_manage/ez_positions_quick/tradier_manage. Appears 0x; likely legacy or typo.</t>
        </is>
      </c>
      <c r="E147" s="0" t="inlineStr">
        <is>
          <t>DEAD</t>
        </is>
      </c>
      <c r="F147" s="0" t="inlineStr">
        <is>
          <t>DEAD</t>
        </is>
      </c>
      <c r="G147" s="0" t="inlineStr">
        <is>
          <t>EXHAUSTION_EXIT</t>
        </is>
      </c>
      <c r="H147" s="0" t="inlineStr">
        <is>
          <t>SPECIFIC — only gated switches</t>
        </is>
      </c>
      <c r="I147" s="0" t="inlineStr">
        <is>
          <t>DEAD — REMOVE</t>
        </is>
      </c>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0" t="n">
        <v>36</v>
      </c>
      <c r="B148" s="0" t="inlineStr">
        <is>
          <t>EXHAUSTION_EXIT_FILTER_TF</t>
        </is>
      </c>
      <c r="C148" s="0" t="inlineStr">
        <is>
          <t>1h</t>
        </is>
      </c>
      <c r="D148" s="0" t="inlineStr">
        <is>
          <t>Dead/misnamed filter — no read in ez_manage/ez_positions_quick/tradier_manage. Appears 0x; likely legacy or typo.</t>
        </is>
      </c>
      <c r="E148" s="0" t="inlineStr">
        <is>
          <t>DEAD</t>
        </is>
      </c>
      <c r="F148" s="0" t="inlineStr">
        <is>
          <t>DEAD</t>
        </is>
      </c>
      <c r="G148" s="0" t="inlineStr">
        <is>
          <t>EXHAUSTION_EXIT</t>
        </is>
      </c>
      <c r="H148" s="0" t="inlineStr">
        <is>
          <t>SPECIFIC — only gated switches</t>
        </is>
      </c>
      <c r="I148" s="0" t="inlineStr">
        <is>
          <t>DEAD — REMOVE</t>
        </is>
      </c>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0" t="n">
        <v>36</v>
      </c>
      <c r="B149" s="0" t="inlineStr">
        <is>
          <t>EXHAUSTION_EXIT_FILTER_TF</t>
        </is>
      </c>
      <c r="C149" s="0" t="inlineStr">
        <is>
          <t>15m</t>
        </is>
      </c>
      <c r="D149" s="0" t="inlineStr">
        <is>
          <t>Dead/misnamed filter — no read in ez_manage/ez_positions_quick/tradier_manage. Appears 0x; likely legacy or typo.</t>
        </is>
      </c>
      <c r="E149" s="0" t="inlineStr">
        <is>
          <t>DEAD</t>
        </is>
      </c>
      <c r="F149" s="0" t="inlineStr">
        <is>
          <t>DEAD</t>
        </is>
      </c>
      <c r="G149" s="0" t="inlineStr">
        <is>
          <t>EXHAUSTION_EXIT</t>
        </is>
      </c>
      <c r="H149" s="0" t="inlineStr">
        <is>
          <t>SPECIFIC — only gated switches</t>
        </is>
      </c>
      <c r="I149" s="0" t="inlineStr">
        <is>
          <t>DEAD — REMOVE</t>
        </is>
      </c>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0" t="n">
        <v>37</v>
      </c>
      <c r="B150" s="0" t="inlineStr">
        <is>
          <t>EXIT_R1_R2_FILTER_TF</t>
        </is>
      </c>
      <c r="C150" s="0" t="inlineStr">
        <is>
          <t>OFF</t>
        </is>
      </c>
      <c r="D150" s="0" t="inlineStr">
        <is>
          <t>Exit R1/R2 level confirmation TF. | Live read: `LESS_EXIT_ENABLED', 'DC_HOPELESS_EXIT_MIN_AGE_S', 'DC_LOW_FROZEN_STOP_TF', 'DC_R`</t>
        </is>
      </c>
      <c r="E150" s="0" t="inlineStr">
        <is>
          <t>GLOBAL_CHECK</t>
        </is>
      </c>
      <c r="F150" s="0" t="inlineStr">
        <is>
          <t>GLOBAL_CHECK</t>
        </is>
      </c>
      <c r="G150" s="0" t="inlineStr">
        <is>
          <t>EXIT_R1_R2</t>
        </is>
      </c>
      <c r="H150" s="0" t="inlineStr">
        <is>
          <t>SPECIFIC — only gated switches</t>
        </is>
      </c>
      <c r="I150" s="0" t="inlineStr">
        <is>
          <t>LIVE — wired</t>
        </is>
      </c>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0" t="n">
        <v>37</v>
      </c>
      <c r="B151" s="0" t="inlineStr">
        <is>
          <t>EXIT_R1_R2_FILTER_TF</t>
        </is>
      </c>
      <c r="C151" s="0" t="inlineStr">
        <is>
          <t>D</t>
        </is>
      </c>
      <c r="D151" s="0" t="inlineStr">
        <is>
          <t>Exit R1/R2 level confirmation TF. | Live read: `LESS_EXIT_ENABLED', 'DC_HOPELESS_EXIT_MIN_AGE_S', 'DC_LOW_FROZEN_STOP_TF', 'DC_R`</t>
        </is>
      </c>
      <c r="E151" s="0" t="inlineStr">
        <is>
          <t>GLOBAL_CHECK</t>
        </is>
      </c>
      <c r="F151" s="0" t="inlineStr">
        <is>
          <t>GLOBAL_CHECK</t>
        </is>
      </c>
      <c r="G151" s="0" t="inlineStr">
        <is>
          <t>EXIT_R1_R2</t>
        </is>
      </c>
      <c r="H151" s="0" t="inlineStr">
        <is>
          <t>SPECIFIC — only gated switches</t>
        </is>
      </c>
      <c r="I151" s="0" t="inlineStr">
        <is>
          <t>LIVE — wired</t>
        </is>
      </c>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0" t="n">
        <v>37</v>
      </c>
      <c r="B152" s="0" t="inlineStr">
        <is>
          <t>EXIT_R1_R2_FILTER_TF</t>
        </is>
      </c>
      <c r="C152" s="0" t="inlineStr">
        <is>
          <t>4h</t>
        </is>
      </c>
      <c r="D152" s="0" t="inlineStr">
        <is>
          <t>Exit R1/R2 level confirmation TF. | Live read: `LESS_EXIT_ENABLED', 'DC_HOPELESS_EXIT_MIN_AGE_S', 'DC_LOW_FROZEN_STOP_TF', 'DC_R`</t>
        </is>
      </c>
      <c r="E152" s="0" t="inlineStr">
        <is>
          <t>GLOBAL_CHECK</t>
        </is>
      </c>
      <c r="F152" s="0" t="inlineStr">
        <is>
          <t>GLOBAL_CHECK</t>
        </is>
      </c>
      <c r="G152" s="0" t="inlineStr">
        <is>
          <t>EXIT_R1_R2</t>
        </is>
      </c>
      <c r="H152" s="0" t="inlineStr">
        <is>
          <t>SPECIFIC — only gated switches</t>
        </is>
      </c>
      <c r="I152" s="0" t="inlineStr">
        <is>
          <t>LIVE — wired</t>
        </is>
      </c>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0" t="n">
        <v>37</v>
      </c>
      <c r="B153" s="0" t="inlineStr">
        <is>
          <t>EXIT_R1_R2_FILTER_TF</t>
        </is>
      </c>
      <c r="C153" s="0" t="inlineStr">
        <is>
          <t>1h</t>
        </is>
      </c>
      <c r="D153" s="0" t="inlineStr">
        <is>
          <t>Exit R1/R2 level confirmation TF. | Live read: `LESS_EXIT_ENABLED', 'DC_HOPELESS_EXIT_MIN_AGE_S', 'DC_LOW_FROZEN_STOP_TF', 'DC_R`</t>
        </is>
      </c>
      <c r="E153" s="0" t="inlineStr">
        <is>
          <t>GLOBAL_CHECK</t>
        </is>
      </c>
      <c r="F153" s="0" t="inlineStr">
        <is>
          <t>GLOBAL_CHECK</t>
        </is>
      </c>
      <c r="G153" s="0" t="inlineStr">
        <is>
          <t>EXIT_R1_R2</t>
        </is>
      </c>
      <c r="H153" s="0" t="inlineStr">
        <is>
          <t>SPECIFIC — only gated switches</t>
        </is>
      </c>
      <c r="I153" s="0" t="inlineStr">
        <is>
          <t>LIVE — wired</t>
        </is>
      </c>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0" t="n">
        <v>37</v>
      </c>
      <c r="B154" s="0" t="inlineStr">
        <is>
          <t>EXIT_R1_R2_FILTER_TF</t>
        </is>
      </c>
      <c r="C154" s="0" t="inlineStr">
        <is>
          <t>15m</t>
        </is>
      </c>
      <c r="D154" s="0" t="inlineStr">
        <is>
          <t>Exit R1/R2 level confirmation TF. | Live read: `LESS_EXIT_ENABLED', 'DC_HOPELESS_EXIT_MIN_AGE_S', 'DC_LOW_FROZEN_STOP_TF', 'DC_R`</t>
        </is>
      </c>
      <c r="E154" s="0" t="inlineStr">
        <is>
          <t>GLOBAL_CHECK</t>
        </is>
      </c>
      <c r="F154" s="0" t="inlineStr">
        <is>
          <t>GLOBAL_CHECK</t>
        </is>
      </c>
      <c r="G154" s="0" t="inlineStr">
        <is>
          <t>EXIT_R1_R2</t>
        </is>
      </c>
      <c r="H154" s="0" t="inlineStr">
        <is>
          <t>SPECIFIC — only gated switches</t>
        </is>
      </c>
      <c r="I154" s="0" t="inlineStr">
        <is>
          <t>LIVE — wired</t>
        </is>
      </c>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0" t="n">
        <v>38</v>
      </c>
      <c r="B155" s="0" t="inlineStr">
        <is>
          <t>EXIT_TIGHT_BREAKOUT_SCORER_FILTER_TF</t>
        </is>
      </c>
      <c r="C155" s="0" t="inlineStr">
        <is>
          <t>OFF</t>
        </is>
      </c>
      <c r="D155" s="0" t="inlineStr">
        <is>
          <t>Tight breakout scorer exit confirmation TF. | Live read: `T_SCORE_BONUS', 'DELTA_EXIT_SPEED_DECAY_MIN_GAIN', 'DELTA_EXIT_SPEED_DECAY_MIN_T`</t>
        </is>
      </c>
      <c r="E155" s="0" t="inlineStr">
        <is>
          <t>GLOBAL_CHECK</t>
        </is>
      </c>
      <c r="F155" s="0" t="inlineStr">
        <is>
          <t>GLOBAL_CHECK</t>
        </is>
      </c>
      <c r="G155" s="0" t="inlineStr">
        <is>
          <t>EXIT_TIGHT_BREAKOUT_SCORER</t>
        </is>
      </c>
      <c r="H155" s="0" t="inlineStr">
        <is>
          <t>SPECIFIC — only gated switches</t>
        </is>
      </c>
      <c r="I155" s="0" t="inlineStr">
        <is>
          <t>LIVE — wired</t>
        </is>
      </c>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0" t="n">
        <v>38</v>
      </c>
      <c r="B156" s="0" t="inlineStr">
        <is>
          <t>EXIT_TIGHT_BREAKOUT_SCORER_FILTER_TF</t>
        </is>
      </c>
      <c r="C156" s="0" t="inlineStr">
        <is>
          <t>D</t>
        </is>
      </c>
      <c r="D156" s="0" t="inlineStr">
        <is>
          <t>Tight breakout scorer exit confirmation TF. | Live read: `T_SCORE_BONUS', 'DELTA_EXIT_SPEED_DECAY_MIN_GAIN', 'DELTA_EXIT_SPEED_DECAY_MIN_T`</t>
        </is>
      </c>
      <c r="E156" s="0" t="inlineStr">
        <is>
          <t>GLOBAL_CHECK</t>
        </is>
      </c>
      <c r="F156" s="0" t="inlineStr">
        <is>
          <t>GLOBAL_CHECK</t>
        </is>
      </c>
      <c r="G156" s="0" t="inlineStr">
        <is>
          <t>EXIT_TIGHT_BREAKOUT_SCORER</t>
        </is>
      </c>
      <c r="H156" s="0" t="inlineStr">
        <is>
          <t>SPECIFIC — only gated switches</t>
        </is>
      </c>
      <c r="I156" s="0" t="inlineStr">
        <is>
          <t>LIVE — wired</t>
        </is>
      </c>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0" t="n">
        <v>38</v>
      </c>
      <c r="B157" s="0" t="inlineStr">
        <is>
          <t>EXIT_TIGHT_BREAKOUT_SCORER_FILTER_TF</t>
        </is>
      </c>
      <c r="C157" s="0" t="inlineStr">
        <is>
          <t>4h</t>
        </is>
      </c>
      <c r="D157" s="0" t="inlineStr">
        <is>
          <t>Tight breakout scorer exit confirmation TF. | Live read: `T_SCORE_BONUS', 'DELTA_EXIT_SPEED_DECAY_MIN_GAIN', 'DELTA_EXIT_SPEED_DECAY_MIN_T`</t>
        </is>
      </c>
      <c r="E157" s="0" t="inlineStr">
        <is>
          <t>GLOBAL_CHECK</t>
        </is>
      </c>
      <c r="F157" s="0" t="inlineStr">
        <is>
          <t>GLOBAL_CHECK</t>
        </is>
      </c>
      <c r="G157" s="0" t="inlineStr">
        <is>
          <t>EXIT_TIGHT_BREAKOUT_SCORER</t>
        </is>
      </c>
      <c r="H157" s="0" t="inlineStr">
        <is>
          <t>SPECIFIC — only gated switches</t>
        </is>
      </c>
      <c r="I157" s="0" t="inlineStr">
        <is>
          <t>LIVE — wired</t>
        </is>
      </c>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0" t="n">
        <v>38</v>
      </c>
      <c r="B158" s="0" t="inlineStr">
        <is>
          <t>EXIT_TIGHT_BREAKOUT_SCORER_FILTER_TF</t>
        </is>
      </c>
      <c r="C158" s="0" t="inlineStr">
        <is>
          <t>1h</t>
        </is>
      </c>
      <c r="D158" s="0" t="inlineStr">
        <is>
          <t>Tight breakout scorer exit confirmation TF. | Live read: `T_SCORE_BONUS', 'DELTA_EXIT_SPEED_DECAY_MIN_GAIN', 'DELTA_EXIT_SPEED_DECAY_MIN_T`</t>
        </is>
      </c>
      <c r="E158" s="0" t="inlineStr">
        <is>
          <t>GLOBAL_CHECK</t>
        </is>
      </c>
      <c r="F158" s="0" t="inlineStr">
        <is>
          <t>GLOBAL_CHECK</t>
        </is>
      </c>
      <c r="G158" s="0" t="inlineStr">
        <is>
          <t>EXIT_TIGHT_BREAKOUT_SCORER</t>
        </is>
      </c>
      <c r="H158" s="0" t="inlineStr">
        <is>
          <t>SPECIFIC — only gated switches</t>
        </is>
      </c>
      <c r="I158" s="0" t="inlineStr">
        <is>
          <t>LIVE — wired</t>
        </is>
      </c>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0" t="n">
        <v>38</v>
      </c>
      <c r="B159" s="0" t="inlineStr">
        <is>
          <t>EXIT_TIGHT_BREAKOUT_SCORER_FILTER_TF</t>
        </is>
      </c>
      <c r="C159" s="0" t="inlineStr">
        <is>
          <t>15m</t>
        </is>
      </c>
      <c r="D159" s="0" t="inlineStr">
        <is>
          <t>Tight breakout scorer exit confirmation TF. | Live read: `T_SCORE_BONUS', 'DELTA_EXIT_SPEED_DECAY_MIN_GAIN', 'DELTA_EXIT_SPEED_DECAY_MIN_T`</t>
        </is>
      </c>
      <c r="E159" s="0" t="inlineStr">
        <is>
          <t>GLOBAL_CHECK</t>
        </is>
      </c>
      <c r="F159" s="0" t="inlineStr">
        <is>
          <t>GLOBAL_CHECK</t>
        </is>
      </c>
      <c r="G159" s="0" t="inlineStr">
        <is>
          <t>EXIT_TIGHT_BREAKOUT_SCORER</t>
        </is>
      </c>
      <c r="H159" s="0" t="inlineStr">
        <is>
          <t>SPECIFIC — only gated switches</t>
        </is>
      </c>
      <c r="I159" s="0" t="inlineStr">
        <is>
          <t>LIVE — wired</t>
        </is>
      </c>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0" t="n">
        <v>39</v>
      </c>
      <c r="B160" s="0" t="inlineStr">
        <is>
          <t>EXIT_TOP_FADE_FILTER_TF</t>
        </is>
      </c>
      <c r="C160" s="0" t="inlineStr">
        <is>
          <t>OFF</t>
        </is>
      </c>
      <c r="D160" s="0" t="inlineStr">
        <is>
          <t>Top-fade exit confirmation TF. | Live read: `DECAY_VEC_ENABLED', 'DELTA_EXIT_TF', 'DELTA_LT_EXIT_SPEED_PCT', 'DELTA_LT_EXIT_T`</t>
        </is>
      </c>
      <c r="E160" s="0" t="inlineStr">
        <is>
          <t>GLOBAL_CHECK</t>
        </is>
      </c>
      <c r="F160" s="0" t="inlineStr">
        <is>
          <t>GLOBAL_CHECK</t>
        </is>
      </c>
      <c r="G160" s="0" t="inlineStr">
        <is>
          <t>EXIT_TOP_FADE</t>
        </is>
      </c>
      <c r="H160" s="0" t="inlineStr">
        <is>
          <t>SPECIFIC — only gated switches</t>
        </is>
      </c>
      <c r="I160" s="0" t="inlineStr">
        <is>
          <t>LIVE — wired</t>
        </is>
      </c>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0" t="n">
        <v>39</v>
      </c>
      <c r="B161" s="0" t="inlineStr">
        <is>
          <t>EXIT_TOP_FADE_FILTER_TF</t>
        </is>
      </c>
      <c r="C161" s="0" t="inlineStr">
        <is>
          <t>D</t>
        </is>
      </c>
      <c r="D161" s="0" t="inlineStr">
        <is>
          <t>Top-fade exit confirmation TF. | Live read: `DECAY_VEC_ENABLED', 'DELTA_EXIT_TF', 'DELTA_LT_EXIT_SPEED_PCT', 'DELTA_LT_EXIT_T`</t>
        </is>
      </c>
      <c r="E161" s="0" t="inlineStr">
        <is>
          <t>GLOBAL_CHECK</t>
        </is>
      </c>
      <c r="F161" s="0" t="inlineStr">
        <is>
          <t>GLOBAL_CHECK</t>
        </is>
      </c>
      <c r="G161" s="0" t="inlineStr">
        <is>
          <t>EXIT_TOP_FADE</t>
        </is>
      </c>
      <c r="H161" s="0" t="inlineStr">
        <is>
          <t>SPECIFIC — only gated switches</t>
        </is>
      </c>
      <c r="I161" s="0" t="inlineStr">
        <is>
          <t>LIVE — wired</t>
        </is>
      </c>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0" t="n">
        <v>39</v>
      </c>
      <c r="B162" s="0" t="inlineStr">
        <is>
          <t>EXIT_TOP_FADE_FILTER_TF</t>
        </is>
      </c>
      <c r="C162" s="0" t="inlineStr">
        <is>
          <t>4h</t>
        </is>
      </c>
      <c r="D162" s="0" t="inlineStr">
        <is>
          <t>Top-fade exit confirmation TF. | Live read: `DECAY_VEC_ENABLED', 'DELTA_EXIT_TF', 'DELTA_LT_EXIT_SPEED_PCT', 'DELTA_LT_EXIT_T`</t>
        </is>
      </c>
      <c r="E162" s="0" t="inlineStr">
        <is>
          <t>GLOBAL_CHECK</t>
        </is>
      </c>
      <c r="F162" s="0" t="inlineStr">
        <is>
          <t>GLOBAL_CHECK</t>
        </is>
      </c>
      <c r="G162" s="0" t="inlineStr">
        <is>
          <t>EXIT_TOP_FADE</t>
        </is>
      </c>
      <c r="H162" s="0" t="inlineStr">
        <is>
          <t>SPECIFIC — only gated switches</t>
        </is>
      </c>
      <c r="I162" s="0" t="inlineStr">
        <is>
          <t>LIVE — wired</t>
        </is>
      </c>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0" t="n">
        <v>39</v>
      </c>
      <c r="B163" s="0" t="inlineStr">
        <is>
          <t>EXIT_TOP_FADE_FILTER_TF</t>
        </is>
      </c>
      <c r="C163" s="0" t="inlineStr">
        <is>
          <t>1h</t>
        </is>
      </c>
      <c r="D163" s="0" t="inlineStr">
        <is>
          <t>Top-fade exit confirmation TF. | Live read: `DECAY_VEC_ENABLED', 'DELTA_EXIT_TF', 'DELTA_LT_EXIT_SPEED_PCT', 'DELTA_LT_EXIT_T`</t>
        </is>
      </c>
      <c r="E163" s="0" t="inlineStr">
        <is>
          <t>GLOBAL_CHECK</t>
        </is>
      </c>
      <c r="F163" s="0" t="inlineStr">
        <is>
          <t>GLOBAL_CHECK</t>
        </is>
      </c>
      <c r="G163" s="0" t="inlineStr">
        <is>
          <t>EXIT_TOP_FADE</t>
        </is>
      </c>
      <c r="H163" s="0" t="inlineStr">
        <is>
          <t>SPECIFIC — only gated switches</t>
        </is>
      </c>
      <c r="I163" s="0" t="inlineStr">
        <is>
          <t>LIVE — wired</t>
        </is>
      </c>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0" t="n">
        <v>39</v>
      </c>
      <c r="B164" s="0" t="inlineStr">
        <is>
          <t>EXIT_TOP_FADE_FILTER_TF</t>
        </is>
      </c>
      <c r="C164" s="0" t="inlineStr">
        <is>
          <t>15m</t>
        </is>
      </c>
      <c r="D164" s="0" t="inlineStr">
        <is>
          <t>Top-fade exit confirmation TF. | Live read: `DECAY_VEC_ENABLED', 'DELTA_EXIT_TF', 'DELTA_LT_EXIT_SPEED_PCT', 'DELTA_LT_EXIT_T`</t>
        </is>
      </c>
      <c r="E164" s="0" t="inlineStr">
        <is>
          <t>GLOBAL_CHECK</t>
        </is>
      </c>
      <c r="F164" s="0" t="inlineStr">
        <is>
          <t>GLOBAL_CHECK</t>
        </is>
      </c>
      <c r="G164" s="0" t="inlineStr">
        <is>
          <t>EXIT_TOP_FADE</t>
        </is>
      </c>
      <c r="H164" s="0" t="inlineStr">
        <is>
          <t>SPECIFIC — only gated switches</t>
        </is>
      </c>
      <c r="I164" s="0" t="inlineStr">
        <is>
          <t>LIVE — wired</t>
        </is>
      </c>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0" t="n">
        <v>40</v>
      </c>
      <c r="B165" s="0" t="inlineStr">
        <is>
          <t>EXIT_TO_REDUCE_ADAPTER_FILTER_TF</t>
        </is>
      </c>
      <c r="C165" s="0" t="inlineStr">
        <is>
          <t>OFF</t>
        </is>
      </c>
      <c r="D165" s="0" t="inlineStr">
        <is>
          <t>Adapts exit signal into reduce (partial) on FILTER_TF. | Live read: `ELTA_LT_EXIT_TYPE', 'DELTA_OPTIONS_EXIT_TYPE', 'DYN_STRUCT_TRAIL_ENABLED', 'EMER`</t>
        </is>
      </c>
      <c r="E165" s="0" t="inlineStr">
        <is>
          <t>GLOBAL_CHECK</t>
        </is>
      </c>
      <c r="F165" s="0" t="inlineStr">
        <is>
          <t>GLOBAL_CHECK</t>
        </is>
      </c>
      <c r="G165" s="0" t="inlineStr">
        <is>
          <t>EXIT_TO_REDUCE_ADAPTER</t>
        </is>
      </c>
      <c r="H165" s="0" t="inlineStr">
        <is>
          <t>SPECIFIC — only gated switches</t>
        </is>
      </c>
      <c r="I165" s="0" t="inlineStr">
        <is>
          <t>LIVE — wired</t>
        </is>
      </c>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0" t="n">
        <v>40</v>
      </c>
      <c r="B166" s="0" t="inlineStr">
        <is>
          <t>EXIT_TO_REDUCE_ADAPTER_FILTER_TF</t>
        </is>
      </c>
      <c r="C166" s="0" t="inlineStr">
        <is>
          <t>D</t>
        </is>
      </c>
      <c r="D166" s="0" t="inlineStr">
        <is>
          <t>Adapts exit signal into reduce (partial) on FILTER_TF. | Live read: `ELTA_LT_EXIT_TYPE', 'DELTA_OPTIONS_EXIT_TYPE', 'DYN_STRUCT_TRAIL_ENABLED', 'EMER`</t>
        </is>
      </c>
      <c r="E166" s="0" t="inlineStr">
        <is>
          <t>GLOBAL_CHECK</t>
        </is>
      </c>
      <c r="F166" s="0" t="inlineStr">
        <is>
          <t>GLOBAL_CHECK</t>
        </is>
      </c>
      <c r="G166" s="0" t="inlineStr">
        <is>
          <t>EXIT_TO_REDUCE_ADAPTER</t>
        </is>
      </c>
      <c r="H166" s="0" t="inlineStr">
        <is>
          <t>SPECIFIC — only gated switches</t>
        </is>
      </c>
      <c r="I166" s="0" t="inlineStr">
        <is>
          <t>LIVE — wired</t>
        </is>
      </c>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0" t="n">
        <v>40</v>
      </c>
      <c r="B167" s="0" t="inlineStr">
        <is>
          <t>EXIT_TO_REDUCE_ADAPTER_FILTER_TF</t>
        </is>
      </c>
      <c r="C167" s="0" t="inlineStr">
        <is>
          <t>4h</t>
        </is>
      </c>
      <c r="D167" s="0" t="inlineStr">
        <is>
          <t>Adapts exit signal into reduce (partial) on FILTER_TF. | Live read: `ELTA_LT_EXIT_TYPE', 'DELTA_OPTIONS_EXIT_TYPE', 'DYN_STRUCT_TRAIL_ENABLED', 'EMER`</t>
        </is>
      </c>
      <c r="E167" s="0" t="inlineStr">
        <is>
          <t>GLOBAL_CHECK</t>
        </is>
      </c>
      <c r="F167" s="0" t="inlineStr">
        <is>
          <t>GLOBAL_CHECK</t>
        </is>
      </c>
      <c r="G167" s="0" t="inlineStr">
        <is>
          <t>EXIT_TO_REDUCE_ADAPTER</t>
        </is>
      </c>
      <c r="H167" s="0" t="inlineStr">
        <is>
          <t>SPECIFIC — only gated switches</t>
        </is>
      </c>
      <c r="I167" s="0" t="inlineStr">
        <is>
          <t>LIVE — wired</t>
        </is>
      </c>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0" t="n">
        <v>40</v>
      </c>
      <c r="B168" s="0" t="inlineStr">
        <is>
          <t>EXIT_TO_REDUCE_ADAPTER_FILTER_TF</t>
        </is>
      </c>
      <c r="C168" s="0" t="inlineStr">
        <is>
          <t>1h</t>
        </is>
      </c>
      <c r="D168" s="0" t="inlineStr">
        <is>
          <t>Adapts exit signal into reduce (partial) on FILTER_TF. | Live read: `ELTA_LT_EXIT_TYPE', 'DELTA_OPTIONS_EXIT_TYPE', 'DYN_STRUCT_TRAIL_ENABLED', 'EMER`</t>
        </is>
      </c>
      <c r="E168" s="0" t="inlineStr">
        <is>
          <t>GLOBAL_CHECK</t>
        </is>
      </c>
      <c r="F168" s="0" t="inlineStr">
        <is>
          <t>GLOBAL_CHECK</t>
        </is>
      </c>
      <c r="G168" s="0" t="inlineStr">
        <is>
          <t>EXIT_TO_REDUCE_ADAPTER</t>
        </is>
      </c>
      <c r="H168" s="0" t="inlineStr">
        <is>
          <t>SPECIFIC — only gated switches</t>
        </is>
      </c>
      <c r="I168" s="0" t="inlineStr">
        <is>
          <t>LIVE — wired</t>
        </is>
      </c>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0" t="n">
        <v>40</v>
      </c>
      <c r="B169" s="0" t="inlineStr">
        <is>
          <t>EXIT_TO_REDUCE_ADAPTER_FILTER_TF</t>
        </is>
      </c>
      <c r="C169" s="0" t="inlineStr">
        <is>
          <t>15m</t>
        </is>
      </c>
      <c r="D169" s="0" t="inlineStr">
        <is>
          <t>Adapts exit signal into reduce (partial) on FILTER_TF. | Live read: `ELTA_LT_EXIT_TYPE', 'DELTA_OPTIONS_EXIT_TYPE', 'DYN_STRUCT_TRAIL_ENABLED', 'EMER`</t>
        </is>
      </c>
      <c r="E169" s="0" t="inlineStr">
        <is>
          <t>GLOBAL_CHECK</t>
        </is>
      </c>
      <c r="F169" s="0" t="inlineStr">
        <is>
          <t>GLOBAL_CHECK</t>
        </is>
      </c>
      <c r="G169" s="0" t="inlineStr">
        <is>
          <t>EXIT_TO_REDUCE_ADAPTER</t>
        </is>
      </c>
      <c r="H169" s="0" t="inlineStr">
        <is>
          <t>SPECIFIC — only gated switches</t>
        </is>
      </c>
      <c r="I169" s="0" t="inlineStr">
        <is>
          <t>LIVE — wired</t>
        </is>
      </c>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0" t="n">
        <v>41</v>
      </c>
      <c r="B170" s="0" t="inlineStr">
        <is>
          <t>EZ_MANAGE_THROTTLER_RATE</t>
        </is>
      </c>
      <c r="C170" s="0" t="inlineStr">
        <is>
          <t>0.0</t>
        </is>
      </c>
      <c r="D170" s="0" t="inlineStr">
        <is>
          <t>Throttler: max decisions per second for ez_manage loop. | Live read: `'EZ_KLINES_SEMAPHORE', 'EZ_MANAGE_CONCURRENCY_LIMIT', 'EZ_MANAGE_MAKER_SEMAPHORE`</t>
        </is>
      </c>
      <c r="E170" s="0" t="inlineStr">
        <is>
          <t>GLOBAL_CHECK, STOCKS_EXIT</t>
        </is>
      </c>
      <c r="F170" s="0" t="inlineStr">
        <is>
          <t>GLOBAL_CHECK, STOCKS_EXIT</t>
        </is>
      </c>
      <c r="G170" s="0" t="inlineStr">
        <is>
          <t>EZ_MANAGE_THROTTLER_RATE</t>
        </is>
      </c>
      <c r="H170" s="0" t="inlineStr">
        <is>
          <t>GENERAL</t>
        </is>
      </c>
      <c r="I170" s="0" t="inlineStr">
        <is>
          <t>LIVE — wired</t>
        </is>
      </c>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0" t="n">
        <v>41</v>
      </c>
      <c r="B171" s="0" t="inlineStr">
        <is>
          <t>EZ_MANAGE_THROTTLER_RATE</t>
        </is>
      </c>
      <c r="C171" s="0" t="inlineStr">
        <is>
          <t>0.0_ALT</t>
        </is>
      </c>
      <c r="D171" s="0" t="inlineStr">
        <is>
          <t>Throttler: max decisions per second for ez_manage loop. | Live read: `'EZ_KLINES_SEMAPHORE', 'EZ_MANAGE_CONCURRENCY_LIMIT', 'EZ_MANAGE_MAKER_SEMAPHORE`</t>
        </is>
      </c>
      <c r="E171" s="0" t="inlineStr">
        <is>
          <t>GLOBAL_CHECK, STOCKS_EXIT</t>
        </is>
      </c>
      <c r="F171" s="0" t="inlineStr">
        <is>
          <t>GLOBAL_CHECK, STOCKS_EXIT</t>
        </is>
      </c>
      <c r="G171" s="0" t="inlineStr">
        <is>
          <t>EZ_MANAGE_THROTTLER_RATE</t>
        </is>
      </c>
      <c r="H171" s="0" t="inlineStr">
        <is>
          <t>GENERAL</t>
        </is>
      </c>
      <c r="I171" s="0" t="inlineStr">
        <is>
          <t>LIVE — wired</t>
        </is>
      </c>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0" t="n">
        <v>42</v>
      </c>
      <c r="B172" s="0" t="inlineStr">
        <is>
          <t>FAST_RISER_FILTER_TF</t>
        </is>
      </c>
      <c r="C172" s="0" t="inlineStr">
        <is>
          <t>OFF</t>
        </is>
      </c>
      <c r="D172" s="0" t="inlineStr">
        <is>
          <t>Fast-riser filter (parabolic move) on FILTER_TF. | Live read: `T_SHARPE_GATES_ENABLED', 'CIRCUIT_SHARPE_GATES_FILTER_TF', 'CIRCUIT_SHARPE_GATES`</t>
        </is>
      </c>
      <c r="E172" s="0" t="inlineStr">
        <is>
          <t>GLOBAL_CHECK</t>
        </is>
      </c>
      <c r="F172" s="0" t="inlineStr">
        <is>
          <t>GLOBAL_CHECK</t>
        </is>
      </c>
      <c r="G172" s="0" t="inlineStr">
        <is>
          <t>FAST_RISER</t>
        </is>
      </c>
      <c r="H172" s="0" t="inlineStr">
        <is>
          <t>SPECIFIC — only gated switches</t>
        </is>
      </c>
      <c r="I172" s="0" t="inlineStr">
        <is>
          <t>LIVE — wired</t>
        </is>
      </c>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0" t="n">
        <v>42</v>
      </c>
      <c r="B173" s="0" t="inlineStr">
        <is>
          <t>FAST_RISER_FILTER_TF</t>
        </is>
      </c>
      <c r="C173" s="0" t="inlineStr">
        <is>
          <t>D</t>
        </is>
      </c>
      <c r="D173" s="0" t="inlineStr">
        <is>
          <t>Fast-riser filter (parabolic move) on FILTER_TF. | Live read: `T_SHARPE_GATES_ENABLED', 'CIRCUIT_SHARPE_GATES_FILTER_TF', 'CIRCUIT_SHARPE_GATES`</t>
        </is>
      </c>
      <c r="E173" s="0" t="inlineStr">
        <is>
          <t>GLOBAL_CHECK</t>
        </is>
      </c>
      <c r="F173" s="0" t="inlineStr">
        <is>
          <t>GLOBAL_CHECK</t>
        </is>
      </c>
      <c r="G173" s="0" t="inlineStr">
        <is>
          <t>FAST_RISER</t>
        </is>
      </c>
      <c r="H173" s="0" t="inlineStr">
        <is>
          <t>SPECIFIC — only gated switches</t>
        </is>
      </c>
      <c r="I173" s="0" t="inlineStr">
        <is>
          <t>LIVE — wired</t>
        </is>
      </c>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0" t="n">
        <v>42</v>
      </c>
      <c r="B174" s="0" t="inlineStr">
        <is>
          <t>FAST_RISER_FILTER_TF</t>
        </is>
      </c>
      <c r="C174" s="0" t="inlineStr">
        <is>
          <t>4h</t>
        </is>
      </c>
      <c r="D174" s="0" t="inlineStr">
        <is>
          <t>Fast-riser filter (parabolic move) on FILTER_TF. | Live read: `T_SHARPE_GATES_ENABLED', 'CIRCUIT_SHARPE_GATES_FILTER_TF', 'CIRCUIT_SHARPE_GATES`</t>
        </is>
      </c>
      <c r="E174" s="0" t="inlineStr">
        <is>
          <t>GLOBAL_CHECK</t>
        </is>
      </c>
      <c r="F174" s="0" t="inlineStr">
        <is>
          <t>GLOBAL_CHECK</t>
        </is>
      </c>
      <c r="G174" s="0" t="inlineStr">
        <is>
          <t>FAST_RISER</t>
        </is>
      </c>
      <c r="H174" s="0" t="inlineStr">
        <is>
          <t>SPECIFIC — only gated switches</t>
        </is>
      </c>
      <c r="I174" s="0" t="inlineStr">
        <is>
          <t>LIVE — wired</t>
        </is>
      </c>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0" t="n">
        <v>42</v>
      </c>
      <c r="B175" s="0" t="inlineStr">
        <is>
          <t>FAST_RISER_FILTER_TF</t>
        </is>
      </c>
      <c r="C175" s="0" t="inlineStr">
        <is>
          <t>1h</t>
        </is>
      </c>
      <c r="D175" s="0" t="inlineStr">
        <is>
          <t>Fast-riser filter (parabolic move) on FILTER_TF. | Live read: `T_SHARPE_GATES_ENABLED', 'CIRCUIT_SHARPE_GATES_FILTER_TF', 'CIRCUIT_SHARPE_GATES`</t>
        </is>
      </c>
      <c r="E175" s="0" t="inlineStr">
        <is>
          <t>GLOBAL_CHECK</t>
        </is>
      </c>
      <c r="F175" s="0" t="inlineStr">
        <is>
          <t>GLOBAL_CHECK</t>
        </is>
      </c>
      <c r="G175" s="0" t="inlineStr">
        <is>
          <t>FAST_RISER</t>
        </is>
      </c>
      <c r="H175" s="0" t="inlineStr">
        <is>
          <t>SPECIFIC — only gated switches</t>
        </is>
      </c>
      <c r="I175" s="0" t="inlineStr">
        <is>
          <t>LIVE — wired</t>
        </is>
      </c>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0" t="n">
        <v>42</v>
      </c>
      <c r="B176" s="0" t="inlineStr">
        <is>
          <t>FAST_RISER_FILTER_TF</t>
        </is>
      </c>
      <c r="C176" s="0" t="inlineStr">
        <is>
          <t>15m</t>
        </is>
      </c>
      <c r="D176" s="0" t="inlineStr">
        <is>
          <t>Fast-riser filter (parabolic move) on FILTER_TF. | Live read: `T_SHARPE_GATES_ENABLED', 'CIRCUIT_SHARPE_GATES_FILTER_TF', 'CIRCUIT_SHARPE_GATES`</t>
        </is>
      </c>
      <c r="E176" s="0" t="inlineStr">
        <is>
          <t>GLOBAL_CHECK</t>
        </is>
      </c>
      <c r="F176" s="0" t="inlineStr">
        <is>
          <t>GLOBAL_CHECK</t>
        </is>
      </c>
      <c r="G176" s="0" t="inlineStr">
        <is>
          <t>FAST_RISER</t>
        </is>
      </c>
      <c r="H176" s="0" t="inlineStr">
        <is>
          <t>SPECIFIC — only gated switches</t>
        </is>
      </c>
      <c r="I176" s="0" t="inlineStr">
        <is>
          <t>LIVE — wired</t>
        </is>
      </c>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0" t="n">
        <v>43</v>
      </c>
      <c r="B177" s="0" t="inlineStr">
        <is>
          <t>FG_FEAR_THRESHOLD</t>
        </is>
      </c>
      <c r="C177" s="0" t="inlineStr">
        <is>
          <t>25</t>
        </is>
      </c>
      <c r="D177" s="0" t="inlineStr">
        <is>
          <t>Fear/Greed index fear threshold. | Live read: `'CIRCUIT_SHARPE_GATES_FILTER_TF', 'CIRCUIT_SHARPE_GATES_MIN_TFS', 'COOLDOWN_LOCK`</t>
        </is>
      </c>
      <c r="E177" s="0" t="inlineStr">
        <is>
          <t>GLOBAL_CHECK, STOCKS_EXIT</t>
        </is>
      </c>
      <c r="F177" s="0" t="inlineStr">
        <is>
          <t>GLOBAL_CHECK, STOCKS_EXIT</t>
        </is>
      </c>
      <c r="G177" s="0" t="inlineStr">
        <is>
          <t>FG_FEAR_THRESHOLD</t>
        </is>
      </c>
      <c r="H177" s="0" t="inlineStr">
        <is>
          <t>GENERAL</t>
        </is>
      </c>
      <c r="I177" s="0" t="inlineStr">
        <is>
          <t>LIVE — wired</t>
        </is>
      </c>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0" t="n">
        <v>43</v>
      </c>
      <c r="B178" s="0" t="inlineStr">
        <is>
          <t>FG_FEAR_THRESHOLD</t>
        </is>
      </c>
      <c r="C178" s="0" t="inlineStr">
        <is>
          <t>31.25</t>
        </is>
      </c>
      <c r="D178" s="0" t="inlineStr">
        <is>
          <t>Fear/Greed index fear threshold. | Live read: `'CIRCUIT_SHARPE_GATES_FILTER_TF', 'CIRCUIT_SHARPE_GATES_MIN_TFS', 'COOLDOWN_LOCK`</t>
        </is>
      </c>
      <c r="E178" s="0" t="inlineStr">
        <is>
          <t>GLOBAL_CHECK, STOCKS_EXIT</t>
        </is>
      </c>
      <c r="F178" s="0" t="inlineStr">
        <is>
          <t>GLOBAL_CHECK, STOCKS_EXIT</t>
        </is>
      </c>
      <c r="G178" s="0" t="inlineStr">
        <is>
          <t>FG_FEAR_THRESHOLD</t>
        </is>
      </c>
      <c r="H178" s="0" t="inlineStr">
        <is>
          <t>GENERAL</t>
        </is>
      </c>
      <c r="I178" s="0" t="inlineStr">
        <is>
          <t>LIVE — wired</t>
        </is>
      </c>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0" t="n">
        <v>43</v>
      </c>
      <c r="B179" s="0" t="inlineStr">
        <is>
          <t>FG_FEAR_THRESHOLD</t>
        </is>
      </c>
      <c r="C179" s="0" t="inlineStr">
        <is>
          <t>18.75</t>
        </is>
      </c>
      <c r="D179" s="0" t="inlineStr">
        <is>
          <t>Fear/Greed index fear threshold. | Live read: `'CIRCUIT_SHARPE_GATES_FILTER_TF', 'CIRCUIT_SHARPE_GATES_MIN_TFS', 'COOLDOWN_LOCK`</t>
        </is>
      </c>
      <c r="E179" s="0" t="inlineStr">
        <is>
          <t>GLOBAL_CHECK, STOCKS_EXIT</t>
        </is>
      </c>
      <c r="F179" s="0" t="inlineStr">
        <is>
          <t>GLOBAL_CHECK, STOCKS_EXIT</t>
        </is>
      </c>
      <c r="G179" s="0" t="inlineStr">
        <is>
          <t>FG_FEAR_THRESHOLD</t>
        </is>
      </c>
      <c r="H179" s="0" t="inlineStr">
        <is>
          <t>GENERAL</t>
        </is>
      </c>
      <c r="I179" s="0" t="inlineStr">
        <is>
          <t>LIVE — wired</t>
        </is>
      </c>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0" t="n">
        <v>43</v>
      </c>
      <c r="B180" s="0" t="inlineStr">
        <is>
          <t>FG_FEAR_THRESHOLD</t>
        </is>
      </c>
      <c r="C180" s="0" t="inlineStr">
        <is>
          <t>12.5</t>
        </is>
      </c>
      <c r="D180" s="0" t="inlineStr">
        <is>
          <t>Fear/Greed index fear threshold. | Live read: `'CIRCUIT_SHARPE_GATES_FILTER_TF', 'CIRCUIT_SHARPE_GATES_MIN_TFS', 'COOLDOWN_LOCK`</t>
        </is>
      </c>
      <c r="E180" s="0" t="inlineStr">
        <is>
          <t>GLOBAL_CHECK, STOCKS_EXIT</t>
        </is>
      </c>
      <c r="F180" s="0" t="inlineStr">
        <is>
          <t>GLOBAL_CHECK, STOCKS_EXIT</t>
        </is>
      </c>
      <c r="G180" s="0" t="inlineStr">
        <is>
          <t>FG_FEAR_THRESHOLD</t>
        </is>
      </c>
      <c r="H180" s="0" t="inlineStr">
        <is>
          <t>GENERAL</t>
        </is>
      </c>
      <c r="I180" s="0" t="inlineStr">
        <is>
          <t>LIVE — wired</t>
        </is>
      </c>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0" t="n">
        <v>44</v>
      </c>
      <c r="B181" s="0" t="inlineStr">
        <is>
          <t>FG_GREED_THRESHOLD</t>
        </is>
      </c>
      <c r="C181" s="0" t="inlineStr">
        <is>
          <t>75</t>
        </is>
      </c>
      <c r="D181" s="0" t="inlineStr">
        <is>
          <t>Fear/Greed greed threshold. | Live read: `S_FILTER_TF', 'CIRCUIT_SHARPE_GATES_MIN_TFS', 'COOLDOWN_LOCKS_FILTER_TF', 'CRYPT`</t>
        </is>
      </c>
      <c r="E181" s="0" t="inlineStr">
        <is>
          <t>GLOBAL_CHECK, STOCKS_EXIT</t>
        </is>
      </c>
      <c r="F181" s="0" t="inlineStr">
        <is>
          <t>GLOBAL_CHECK, STOCKS_EXIT</t>
        </is>
      </c>
      <c r="G181" s="0" t="inlineStr">
        <is>
          <t>FG_GREED_THRESHOLD</t>
        </is>
      </c>
      <c r="H181" s="0" t="inlineStr">
        <is>
          <t>GENERAL</t>
        </is>
      </c>
      <c r="I181" s="0" t="inlineStr">
        <is>
          <t>LIVE — wired</t>
        </is>
      </c>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0" t="n">
        <v>44</v>
      </c>
      <c r="B182" s="0" t="inlineStr">
        <is>
          <t>FG_GREED_THRESHOLD</t>
        </is>
      </c>
      <c r="C182" s="0" t="inlineStr">
        <is>
          <t>93.75</t>
        </is>
      </c>
      <c r="D182" s="0" t="inlineStr">
        <is>
          <t>Fear/Greed greed threshold. | Live read: `S_FILTER_TF', 'CIRCUIT_SHARPE_GATES_MIN_TFS', 'COOLDOWN_LOCKS_FILTER_TF', 'CRYPT`</t>
        </is>
      </c>
      <c r="E182" s="0" t="inlineStr">
        <is>
          <t>GLOBAL_CHECK, STOCKS_EXIT</t>
        </is>
      </c>
      <c r="F182" s="0" t="inlineStr">
        <is>
          <t>GLOBAL_CHECK, STOCKS_EXIT</t>
        </is>
      </c>
      <c r="G182" s="0" t="inlineStr">
        <is>
          <t>FG_GREED_THRESHOLD</t>
        </is>
      </c>
      <c r="H182" s="0" t="inlineStr">
        <is>
          <t>GENERAL</t>
        </is>
      </c>
      <c r="I182" s="0" t="inlineStr">
        <is>
          <t>LIVE — wired</t>
        </is>
      </c>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0" t="n">
        <v>44</v>
      </c>
      <c r="B183" s="0" t="inlineStr">
        <is>
          <t>FG_GREED_THRESHOLD</t>
        </is>
      </c>
      <c r="C183" s="0" t="inlineStr">
        <is>
          <t>56.25</t>
        </is>
      </c>
      <c r="D183" s="0" t="inlineStr">
        <is>
          <t>Fear/Greed greed threshold. | Live read: `S_FILTER_TF', 'CIRCUIT_SHARPE_GATES_MIN_TFS', 'COOLDOWN_LOCKS_FILTER_TF', 'CRYPT`</t>
        </is>
      </c>
      <c r="E183" s="0" t="inlineStr">
        <is>
          <t>GLOBAL_CHECK, STOCKS_EXIT</t>
        </is>
      </c>
      <c r="F183" s="0" t="inlineStr">
        <is>
          <t>GLOBAL_CHECK, STOCKS_EXIT</t>
        </is>
      </c>
      <c r="G183" s="0" t="inlineStr">
        <is>
          <t>FG_GREED_THRESHOLD</t>
        </is>
      </c>
      <c r="H183" s="0" t="inlineStr">
        <is>
          <t>GENERAL</t>
        </is>
      </c>
      <c r="I183" s="0" t="inlineStr">
        <is>
          <t>LIVE — wired</t>
        </is>
      </c>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0" t="n">
        <v>44</v>
      </c>
      <c r="B184" s="0" t="inlineStr">
        <is>
          <t>FG_GREED_THRESHOLD</t>
        </is>
      </c>
      <c r="C184" s="0" t="inlineStr">
        <is>
          <t>37.5</t>
        </is>
      </c>
      <c r="D184" s="0" t="inlineStr">
        <is>
          <t>Fear/Greed greed threshold. | Live read: `S_FILTER_TF', 'CIRCUIT_SHARPE_GATES_MIN_TFS', 'COOLDOWN_LOCKS_FILTER_TF', 'CRYPT`</t>
        </is>
      </c>
      <c r="E184" s="0" t="inlineStr">
        <is>
          <t>GLOBAL_CHECK, STOCKS_EXIT</t>
        </is>
      </c>
      <c r="F184" s="0" t="inlineStr">
        <is>
          <t>GLOBAL_CHECK, STOCKS_EXIT</t>
        </is>
      </c>
      <c r="G184" s="0" t="inlineStr">
        <is>
          <t>FG_GREED_THRESHOLD</t>
        </is>
      </c>
      <c r="H184" s="0" t="inlineStr">
        <is>
          <t>GENERAL</t>
        </is>
      </c>
      <c r="I184" s="0" t="inlineStr">
        <is>
          <t>LIVE — wired</t>
        </is>
      </c>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0" t="n">
        <v>45</v>
      </c>
      <c r="B185" s="0" t="inlineStr">
        <is>
          <t>FH_MOMENTUM_FILTER_TF</t>
        </is>
      </c>
      <c r="C185" s="0" t="inlineStr">
        <is>
          <t>OFF</t>
        </is>
      </c>
      <c r="D185" s="0" t="inlineStr">
        <is>
          <t>FH momentum confirmation TF. | Live read: `_SHARPE_GATES_MIN_TFS', 'COOLDOWN_LOCKS_FILTER_TF', 'CRYPTO_SPIKE_FADE_THRESHOLD`</t>
        </is>
      </c>
      <c r="E185" s="0" t="inlineStr">
        <is>
          <t>GLOBAL_CHECK</t>
        </is>
      </c>
      <c r="F185" s="0" t="inlineStr">
        <is>
          <t>GLOBAL_CHECK</t>
        </is>
      </c>
      <c r="G185" s="0" t="inlineStr">
        <is>
          <t>FH_MOMENTUM</t>
        </is>
      </c>
      <c r="H185" s="0" t="inlineStr">
        <is>
          <t>SPECIFIC — only gated switches</t>
        </is>
      </c>
      <c r="I185" s="0" t="inlineStr">
        <is>
          <t>LIVE — wired</t>
        </is>
      </c>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0" t="n">
        <v>45</v>
      </c>
      <c r="B186" s="0" t="inlineStr">
        <is>
          <t>FH_MOMENTUM_FILTER_TF</t>
        </is>
      </c>
      <c r="C186" s="0" t="inlineStr">
        <is>
          <t>D</t>
        </is>
      </c>
      <c r="D186" s="0" t="inlineStr">
        <is>
          <t>FH momentum confirmation TF. | Live read: `_SHARPE_GATES_MIN_TFS', 'COOLDOWN_LOCKS_FILTER_TF', 'CRYPTO_SPIKE_FADE_THRESHOLD`</t>
        </is>
      </c>
      <c r="E186" s="0" t="inlineStr">
        <is>
          <t>GLOBAL_CHECK</t>
        </is>
      </c>
      <c r="F186" s="0" t="inlineStr">
        <is>
          <t>GLOBAL_CHECK</t>
        </is>
      </c>
      <c r="G186" s="0" t="inlineStr">
        <is>
          <t>FH_MOMENTUM</t>
        </is>
      </c>
      <c r="H186" s="0" t="inlineStr">
        <is>
          <t>SPECIFIC — only gated switches</t>
        </is>
      </c>
      <c r="I186" s="0" t="inlineStr">
        <is>
          <t>LIVE — wired</t>
        </is>
      </c>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0" t="n">
        <v>45</v>
      </c>
      <c r="B187" s="0" t="inlineStr">
        <is>
          <t>FH_MOMENTUM_FILTER_TF</t>
        </is>
      </c>
      <c r="C187" s="0" t="inlineStr">
        <is>
          <t>4h</t>
        </is>
      </c>
      <c r="D187" s="0" t="inlineStr">
        <is>
          <t>FH momentum confirmation TF. | Live read: `_SHARPE_GATES_MIN_TFS', 'COOLDOWN_LOCKS_FILTER_TF', 'CRYPTO_SPIKE_FADE_THRESHOLD`</t>
        </is>
      </c>
      <c r="E187" s="0" t="inlineStr">
        <is>
          <t>GLOBAL_CHECK</t>
        </is>
      </c>
      <c r="F187" s="0" t="inlineStr">
        <is>
          <t>GLOBAL_CHECK</t>
        </is>
      </c>
      <c r="G187" s="0" t="inlineStr">
        <is>
          <t>FH_MOMENTUM</t>
        </is>
      </c>
      <c r="H187" s="0" t="inlineStr">
        <is>
          <t>SPECIFIC — only gated switches</t>
        </is>
      </c>
      <c r="I187" s="0" t="inlineStr">
        <is>
          <t>LIVE — wired</t>
        </is>
      </c>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0" t="n">
        <v>45</v>
      </c>
      <c r="B188" s="0" t="inlineStr">
        <is>
          <t>FH_MOMENTUM_FILTER_TF</t>
        </is>
      </c>
      <c r="C188" s="0" t="inlineStr">
        <is>
          <t>1h</t>
        </is>
      </c>
      <c r="D188" s="0" t="inlineStr">
        <is>
          <t>FH momentum confirmation TF. | Live read: `_SHARPE_GATES_MIN_TFS', 'COOLDOWN_LOCKS_FILTER_TF', 'CRYPTO_SPIKE_FADE_THRESHOLD`</t>
        </is>
      </c>
      <c r="E188" s="0" t="inlineStr">
        <is>
          <t>GLOBAL_CHECK</t>
        </is>
      </c>
      <c r="F188" s="0" t="inlineStr">
        <is>
          <t>GLOBAL_CHECK</t>
        </is>
      </c>
      <c r="G188" s="0" t="inlineStr">
        <is>
          <t>FH_MOMENTUM</t>
        </is>
      </c>
      <c r="H188" s="0" t="inlineStr">
        <is>
          <t>SPECIFIC — only gated switches</t>
        </is>
      </c>
      <c r="I188" s="0" t="inlineStr">
        <is>
          <t>LIVE — wired</t>
        </is>
      </c>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0" t="n">
        <v>45</v>
      </c>
      <c r="B189" s="0" t="inlineStr">
        <is>
          <t>FH_MOMENTUM_FILTER_TF</t>
        </is>
      </c>
      <c r="C189" s="0" t="inlineStr">
        <is>
          <t>15m</t>
        </is>
      </c>
      <c r="D189" s="0" t="inlineStr">
        <is>
          <t>FH momentum confirmation TF. | Live read: `_SHARPE_GATES_MIN_TFS', 'COOLDOWN_LOCKS_FILTER_TF', 'CRYPTO_SPIKE_FADE_THRESHOLD`</t>
        </is>
      </c>
      <c r="E189" s="0" t="inlineStr">
        <is>
          <t>GLOBAL_CHECK</t>
        </is>
      </c>
      <c r="F189" s="0" t="inlineStr">
        <is>
          <t>GLOBAL_CHECK</t>
        </is>
      </c>
      <c r="G189" s="0" t="inlineStr">
        <is>
          <t>FH_MOMENTUM</t>
        </is>
      </c>
      <c r="H189" s="0" t="inlineStr">
        <is>
          <t>SPECIFIC — only gated switches</t>
        </is>
      </c>
      <c r="I189" s="0" t="inlineStr">
        <is>
          <t>LIVE — wired</t>
        </is>
      </c>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0" t="n">
        <v>46</v>
      </c>
      <c r="B190" s="0" t="inlineStr">
        <is>
          <t>FIRST_OPEN_THROTTLE_FILTER_TF</t>
        </is>
      </c>
      <c r="C190" s="0" t="inlineStr">
        <is>
          <t>OFF</t>
        </is>
      </c>
      <c r="D190" s="0" t="inlineStr">
        <is>
          <t>Throttles first open after cooldown on FILTER_TF. | Live read: `SHOLD', 'ENTRY_BB_SQUEEZE_LOOKBACK', 'ENTRY_BB_SQUEEZE_RATIO', 'ENTRY_BB_SQUEEZE`</t>
        </is>
      </c>
      <c r="E190" s="0" t="inlineStr">
        <is>
          <t>GLOBAL_CHECK</t>
        </is>
      </c>
      <c r="F190" s="0" t="inlineStr">
        <is>
          <t>GLOBAL_CHECK</t>
        </is>
      </c>
      <c r="G190" s="0" t="inlineStr">
        <is>
          <t>FIRST_OPEN_THROTTLE</t>
        </is>
      </c>
      <c r="H190" s="0" t="inlineStr">
        <is>
          <t>SPECIFIC — only gated switches</t>
        </is>
      </c>
      <c r="I190" s="0" t="inlineStr">
        <is>
          <t>LIVE — wired</t>
        </is>
      </c>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0" t="n">
        <v>46</v>
      </c>
      <c r="B191" s="0" t="inlineStr">
        <is>
          <t>FIRST_OPEN_THROTTLE_FILTER_TF</t>
        </is>
      </c>
      <c r="C191" s="0" t="inlineStr">
        <is>
          <t>D</t>
        </is>
      </c>
      <c r="D191" s="0" t="inlineStr">
        <is>
          <t>Throttles first open after cooldown on FILTER_TF. | Live read: `SHOLD', 'ENTRY_BB_SQUEEZE_LOOKBACK', 'ENTRY_BB_SQUEEZE_RATIO', 'ENTRY_BB_SQUEEZE`</t>
        </is>
      </c>
      <c r="E191" s="0" t="inlineStr">
        <is>
          <t>GLOBAL_CHECK</t>
        </is>
      </c>
      <c r="F191" s="0" t="inlineStr">
        <is>
          <t>GLOBAL_CHECK</t>
        </is>
      </c>
      <c r="G191" s="0" t="inlineStr">
        <is>
          <t>FIRST_OPEN_THROTTLE</t>
        </is>
      </c>
      <c r="H191" s="0" t="inlineStr">
        <is>
          <t>SPECIFIC — only gated switches</t>
        </is>
      </c>
      <c r="I191" s="0" t="inlineStr">
        <is>
          <t>LIVE — wired</t>
        </is>
      </c>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0" t="n">
        <v>46</v>
      </c>
      <c r="B192" s="0" t="inlineStr">
        <is>
          <t>FIRST_OPEN_THROTTLE_FILTER_TF</t>
        </is>
      </c>
      <c r="C192" s="0" t="inlineStr">
        <is>
          <t>4h</t>
        </is>
      </c>
      <c r="D192" s="0" t="inlineStr">
        <is>
          <t>Throttles first open after cooldown on FILTER_TF. | Live read: `SHOLD', 'ENTRY_BB_SQUEEZE_LOOKBACK', 'ENTRY_BB_SQUEEZE_RATIO', 'ENTRY_BB_SQUEEZE`</t>
        </is>
      </c>
      <c r="E192" s="0" t="inlineStr">
        <is>
          <t>GLOBAL_CHECK</t>
        </is>
      </c>
      <c r="F192" s="0" t="inlineStr">
        <is>
          <t>GLOBAL_CHECK</t>
        </is>
      </c>
      <c r="G192" s="0" t="inlineStr">
        <is>
          <t>FIRST_OPEN_THROTTLE</t>
        </is>
      </c>
      <c r="H192" s="0" t="inlineStr">
        <is>
          <t>SPECIFIC — only gated switches</t>
        </is>
      </c>
      <c r="I192" s="0" t="inlineStr">
        <is>
          <t>LIVE — wired</t>
        </is>
      </c>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0" t="n">
        <v>46</v>
      </c>
      <c r="B193" s="0" t="inlineStr">
        <is>
          <t>FIRST_OPEN_THROTTLE_FILTER_TF</t>
        </is>
      </c>
      <c r="C193" s="0" t="inlineStr">
        <is>
          <t>1h</t>
        </is>
      </c>
      <c r="D193" s="0" t="inlineStr">
        <is>
          <t>Throttles first open after cooldown on FILTER_TF. | Live read: `SHOLD', 'ENTRY_BB_SQUEEZE_LOOKBACK', 'ENTRY_BB_SQUEEZE_RATIO', 'ENTRY_BB_SQUEEZE`</t>
        </is>
      </c>
      <c r="E193" s="0" t="inlineStr">
        <is>
          <t>GLOBAL_CHECK</t>
        </is>
      </c>
      <c r="F193" s="0" t="inlineStr">
        <is>
          <t>GLOBAL_CHECK</t>
        </is>
      </c>
      <c r="G193" s="0" t="inlineStr">
        <is>
          <t>FIRST_OPEN_THROTTLE</t>
        </is>
      </c>
      <c r="H193" s="0" t="inlineStr">
        <is>
          <t>SPECIFIC — only gated switches</t>
        </is>
      </c>
      <c r="I193" s="0" t="inlineStr">
        <is>
          <t>LIVE — wired</t>
        </is>
      </c>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0" t="n">
        <v>46</v>
      </c>
      <c r="B194" s="0" t="inlineStr">
        <is>
          <t>FIRST_OPEN_THROTTLE_FILTER_TF</t>
        </is>
      </c>
      <c r="C194" s="0" t="inlineStr">
        <is>
          <t>15m</t>
        </is>
      </c>
      <c r="D194" s="0" t="inlineStr">
        <is>
          <t>Throttles first open after cooldown on FILTER_TF. | Live read: `SHOLD', 'ENTRY_BB_SQUEEZE_LOOKBACK', 'ENTRY_BB_SQUEEZE_RATIO', 'ENTRY_BB_SQUEEZE`</t>
        </is>
      </c>
      <c r="E194" s="0" t="inlineStr">
        <is>
          <t>GLOBAL_CHECK</t>
        </is>
      </c>
      <c r="F194" s="0" t="inlineStr">
        <is>
          <t>GLOBAL_CHECK</t>
        </is>
      </c>
      <c r="G194" s="0" t="inlineStr">
        <is>
          <t>FIRST_OPEN_THROTTLE</t>
        </is>
      </c>
      <c r="H194" s="0" t="inlineStr">
        <is>
          <t>SPECIFIC — only gated switches</t>
        </is>
      </c>
      <c r="I194" s="0" t="inlineStr">
        <is>
          <t>LIVE — wired</t>
        </is>
      </c>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0" t="n">
        <v>47</v>
      </c>
      <c r="B195" s="0" t="inlineStr">
        <is>
          <t>FROZEN_STOP_FILTER_TF</t>
        </is>
      </c>
      <c r="C195" s="0" t="inlineStr">
        <is>
          <t>OFF</t>
        </is>
      </c>
      <c r="D195" s="0" t="inlineStr">
        <is>
          <t>Frozen (stale) stop — avoids stop triggered on stale DC/BB. | Live read: `TIGHT_BREAKOUT_SCORER_FILTER_TF', 'EXIT_TIGHT_BREAKOUT_SCORER_MIN_TFS', 'EXIT_TO`</t>
        </is>
      </c>
      <c r="E195" s="0" t="inlineStr">
        <is>
          <t>GLOBAL_CHECK</t>
        </is>
      </c>
      <c r="F195" s="0" t="inlineStr">
        <is>
          <t>GLOBAL_CHECK</t>
        </is>
      </c>
      <c r="G195" s="0" t="inlineStr">
        <is>
          <t>FROZEN_STOP</t>
        </is>
      </c>
      <c r="H195" s="0" t="inlineStr">
        <is>
          <t>SPECIFIC — only gated switches</t>
        </is>
      </c>
      <c r="I195" s="0" t="inlineStr">
        <is>
          <t>LIVE — wired</t>
        </is>
      </c>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0" t="n">
        <v>47</v>
      </c>
      <c r="B196" s="0" t="inlineStr">
        <is>
          <t>FROZEN_STOP_FILTER_TF</t>
        </is>
      </c>
      <c r="C196" s="0" t="inlineStr">
        <is>
          <t>D</t>
        </is>
      </c>
      <c r="D196" s="0" t="inlineStr">
        <is>
          <t>Frozen (stale) stop — avoids stop triggered on stale DC/BB. | Live read: `TIGHT_BREAKOUT_SCORER_FILTER_TF', 'EXIT_TIGHT_BREAKOUT_SCORER_MIN_TFS', 'EXIT_TO`</t>
        </is>
      </c>
      <c r="E196" s="0" t="inlineStr">
        <is>
          <t>GLOBAL_CHECK</t>
        </is>
      </c>
      <c r="F196" s="0" t="inlineStr">
        <is>
          <t>GLOBAL_CHECK</t>
        </is>
      </c>
      <c r="G196" s="0" t="inlineStr">
        <is>
          <t>FROZEN_STOP</t>
        </is>
      </c>
      <c r="H196" s="0" t="inlineStr">
        <is>
          <t>SPECIFIC — only gated switches</t>
        </is>
      </c>
      <c r="I196" s="0" t="inlineStr">
        <is>
          <t>LIVE — wired</t>
        </is>
      </c>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0" t="n">
        <v>47</v>
      </c>
      <c r="B197" s="0" t="inlineStr">
        <is>
          <t>FROZEN_STOP_FILTER_TF</t>
        </is>
      </c>
      <c r="C197" s="0" t="inlineStr">
        <is>
          <t>4h</t>
        </is>
      </c>
      <c r="D197" s="0" t="inlineStr">
        <is>
          <t>Frozen (stale) stop — avoids stop triggered on stale DC/BB. | Live read: `TIGHT_BREAKOUT_SCORER_FILTER_TF', 'EXIT_TIGHT_BREAKOUT_SCORER_MIN_TFS', 'EXIT_TO`</t>
        </is>
      </c>
      <c r="E197" s="0" t="inlineStr">
        <is>
          <t>GLOBAL_CHECK</t>
        </is>
      </c>
      <c r="F197" s="0" t="inlineStr">
        <is>
          <t>GLOBAL_CHECK</t>
        </is>
      </c>
      <c r="G197" s="0" t="inlineStr">
        <is>
          <t>FROZEN_STOP</t>
        </is>
      </c>
      <c r="H197" s="0" t="inlineStr">
        <is>
          <t>SPECIFIC — only gated switches</t>
        </is>
      </c>
      <c r="I197" s="0" t="inlineStr">
        <is>
          <t>LIVE — wired</t>
        </is>
      </c>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0" t="n">
        <v>47</v>
      </c>
      <c r="B198" s="0" t="inlineStr">
        <is>
          <t>FROZEN_STOP_FILTER_TF</t>
        </is>
      </c>
      <c r="C198" s="0" t="inlineStr">
        <is>
          <t>1h</t>
        </is>
      </c>
      <c r="D198" s="0" t="inlineStr">
        <is>
          <t>Frozen (stale) stop — avoids stop triggered on stale DC/BB. | Live read: `TIGHT_BREAKOUT_SCORER_FILTER_TF', 'EXIT_TIGHT_BREAKOUT_SCORER_MIN_TFS', 'EXIT_TO`</t>
        </is>
      </c>
      <c r="E198" s="0" t="inlineStr">
        <is>
          <t>GLOBAL_CHECK</t>
        </is>
      </c>
      <c r="F198" s="0" t="inlineStr">
        <is>
          <t>GLOBAL_CHECK</t>
        </is>
      </c>
      <c r="G198" s="0" t="inlineStr">
        <is>
          <t>FROZEN_STOP</t>
        </is>
      </c>
      <c r="H198" s="0" t="inlineStr">
        <is>
          <t>SPECIFIC — only gated switches</t>
        </is>
      </c>
      <c r="I198" s="0" t="inlineStr">
        <is>
          <t>LIVE — wired</t>
        </is>
      </c>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0" t="n">
        <v>47</v>
      </c>
      <c r="B199" s="0" t="inlineStr">
        <is>
          <t>FROZEN_STOP_FILTER_TF</t>
        </is>
      </c>
      <c r="C199" s="0" t="inlineStr">
        <is>
          <t>15m</t>
        </is>
      </c>
      <c r="D199" s="0" t="inlineStr">
        <is>
          <t>Frozen (stale) stop — avoids stop triggered on stale DC/BB. | Live read: `TIGHT_BREAKOUT_SCORER_FILTER_TF', 'EXIT_TIGHT_BREAKOUT_SCORER_MIN_TFS', 'EXIT_TO`</t>
        </is>
      </c>
      <c r="E199" s="0" t="inlineStr">
        <is>
          <t>GLOBAL_CHECK</t>
        </is>
      </c>
      <c r="F199" s="0" t="inlineStr">
        <is>
          <t>GLOBAL_CHECK</t>
        </is>
      </c>
      <c r="G199" s="0" t="inlineStr">
        <is>
          <t>FROZEN_STOP</t>
        </is>
      </c>
      <c r="H199" s="0" t="inlineStr">
        <is>
          <t>SPECIFIC — only gated switches</t>
        </is>
      </c>
      <c r="I199" s="0" t="inlineStr">
        <is>
          <t>LIVE — wired</t>
        </is>
      </c>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0" t="n">
        <v>48</v>
      </c>
      <c r="B200" s="0" t="inlineStr">
        <is>
          <t>FUNDING_GATE_FILTER_TF</t>
        </is>
      </c>
      <c r="C200" s="0" t="inlineStr">
        <is>
          <t>OFF</t>
        </is>
      </c>
      <c r="D200" s="0" t="inlineStr">
        <is>
          <t>Funding rate gate on FILTER_TF (perp funding). | Live read: `COOLDOWN_LOCKS_FILTER_TF', 'CRYPTO_SPIKE_FADE_THRESHOLD_PCT', 'DC_BREAK_FILTER_T`</t>
        </is>
      </c>
      <c r="E200" s="0" t="inlineStr">
        <is>
          <t>GLOBAL_CHECK</t>
        </is>
      </c>
      <c r="F200" s="0" t="inlineStr">
        <is>
          <t>GLOBAL_CHECK</t>
        </is>
      </c>
      <c r="G200" s="0" t="inlineStr">
        <is>
          <t>Funding gate</t>
        </is>
      </c>
      <c r="H200" s="0" t="inlineStr">
        <is>
          <t>GENERAL — uniform</t>
        </is>
      </c>
      <c r="I200" s="0" t="inlineStr">
        <is>
          <t>LIVE — wired</t>
        </is>
      </c>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0" t="n">
        <v>48</v>
      </c>
      <c r="B201" s="0" t="inlineStr">
        <is>
          <t>FUNDING_GATE_FILTER_TF</t>
        </is>
      </c>
      <c r="C201" s="0" t="inlineStr">
        <is>
          <t>D</t>
        </is>
      </c>
      <c r="D201" s="0" t="inlineStr">
        <is>
          <t>Funding rate gate on FILTER_TF (perp funding). | Live read: `COOLDOWN_LOCKS_FILTER_TF', 'CRYPTO_SPIKE_FADE_THRESHOLD_PCT', 'DC_BREAK_FILTER_T`</t>
        </is>
      </c>
      <c r="E201" s="0" t="inlineStr">
        <is>
          <t>GLOBAL_CHECK</t>
        </is>
      </c>
      <c r="F201" s="0" t="inlineStr">
        <is>
          <t>GLOBAL_CHECK</t>
        </is>
      </c>
      <c r="G201" s="0" t="inlineStr">
        <is>
          <t>Funding gate</t>
        </is>
      </c>
      <c r="H201" s="0" t="inlineStr">
        <is>
          <t>GENERAL — uniform</t>
        </is>
      </c>
      <c r="I201" s="0" t="inlineStr">
        <is>
          <t>LIVE — wired</t>
        </is>
      </c>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0" t="n">
        <v>48</v>
      </c>
      <c r="B202" s="0" t="inlineStr">
        <is>
          <t>FUNDING_GATE_FILTER_TF</t>
        </is>
      </c>
      <c r="C202" s="0" t="inlineStr">
        <is>
          <t>4h</t>
        </is>
      </c>
      <c r="D202" s="0" t="inlineStr">
        <is>
          <t>Funding rate gate on FILTER_TF (perp funding). | Live read: `COOLDOWN_LOCKS_FILTER_TF', 'CRYPTO_SPIKE_FADE_THRESHOLD_PCT', 'DC_BREAK_FILTER_T`</t>
        </is>
      </c>
      <c r="E202" s="0" t="inlineStr">
        <is>
          <t>GLOBAL_CHECK</t>
        </is>
      </c>
      <c r="F202" s="0" t="inlineStr">
        <is>
          <t>GLOBAL_CHECK</t>
        </is>
      </c>
      <c r="G202" s="0" t="inlineStr">
        <is>
          <t>Funding gate</t>
        </is>
      </c>
      <c r="H202" s="0" t="inlineStr">
        <is>
          <t>GENERAL — uniform</t>
        </is>
      </c>
      <c r="I202" s="0" t="inlineStr">
        <is>
          <t>LIVE — wired</t>
        </is>
      </c>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0" t="n">
        <v>48</v>
      </c>
      <c r="B203" s="0" t="inlineStr">
        <is>
          <t>FUNDING_GATE_FILTER_TF</t>
        </is>
      </c>
      <c r="C203" s="0" t="inlineStr">
        <is>
          <t>1h</t>
        </is>
      </c>
      <c r="D203" s="0" t="inlineStr">
        <is>
          <t>Funding rate gate on FILTER_TF (perp funding). | Live read: `COOLDOWN_LOCKS_FILTER_TF', 'CRYPTO_SPIKE_FADE_THRESHOLD_PCT', 'DC_BREAK_FILTER_T`</t>
        </is>
      </c>
      <c r="E203" s="0" t="inlineStr">
        <is>
          <t>GLOBAL_CHECK</t>
        </is>
      </c>
      <c r="F203" s="0" t="inlineStr">
        <is>
          <t>GLOBAL_CHECK</t>
        </is>
      </c>
      <c r="G203" s="0" t="inlineStr">
        <is>
          <t>Funding gate</t>
        </is>
      </c>
      <c r="H203" s="0" t="inlineStr">
        <is>
          <t>GENERAL — uniform</t>
        </is>
      </c>
      <c r="I203" s="0" t="inlineStr">
        <is>
          <t>LIVE — wired</t>
        </is>
      </c>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0" t="n">
        <v>48</v>
      </c>
      <c r="B204" s="0" t="inlineStr">
        <is>
          <t>FUNDING_GATE_FILTER_TF</t>
        </is>
      </c>
      <c r="C204" s="0" t="inlineStr">
        <is>
          <t>15m</t>
        </is>
      </c>
      <c r="D204" s="0" t="inlineStr">
        <is>
          <t>Funding rate gate on FILTER_TF (perp funding). | Live read: `COOLDOWN_LOCKS_FILTER_TF', 'CRYPTO_SPIKE_FADE_THRESHOLD_PCT', 'DC_BREAK_FILTER_T`</t>
        </is>
      </c>
      <c r="E204" s="0" t="inlineStr">
        <is>
          <t>GLOBAL_CHECK</t>
        </is>
      </c>
      <c r="F204" s="0" t="inlineStr">
        <is>
          <t>GLOBAL_CHECK</t>
        </is>
      </c>
      <c r="G204" s="0" t="inlineStr">
        <is>
          <t>Funding gate</t>
        </is>
      </c>
      <c r="H204" s="0" t="inlineStr">
        <is>
          <t>GENERAL — uniform</t>
        </is>
      </c>
      <c r="I204" s="0" t="inlineStr">
        <is>
          <t>LIVE — wired</t>
        </is>
      </c>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0" t="n">
        <v>49</v>
      </c>
      <c r="B205" s="0" t="inlineStr">
        <is>
          <t>FUNDING_GATE_LONG_MAX</t>
        </is>
      </c>
      <c r="C205" s="0" t="inlineStr">
        <is>
          <t>0.0</t>
        </is>
      </c>
      <c r="D205" s="0" t="inlineStr">
        <is>
          <t>Max funding to allow longs (above blocks longs). | Live read: `LED', 'ENTRY_VOL_SPIKE_LOOKBACK', 'ENTRY_VOL_SPIKE_RATIO', 'ENTRY_WILLR_ENABLED'`</t>
        </is>
      </c>
      <c r="E205" s="0" t="inlineStr">
        <is>
          <t>ENTRY, GLOBAL_CHECK, STOCKS_EXIT</t>
        </is>
      </c>
      <c r="F205" s="0" t="inlineStr">
        <is>
          <t>ENTRY, GLOBAL_CHECK, STOCKS_EXIT</t>
        </is>
      </c>
      <c r="G205" s="0" t="inlineStr">
        <is>
          <t>Funding gate</t>
        </is>
      </c>
      <c r="H205" s="0" t="inlineStr">
        <is>
          <t>GENERAL — uniform</t>
        </is>
      </c>
      <c r="I205" s="0" t="inlineStr">
        <is>
          <t>LIVE — wired</t>
        </is>
      </c>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0" t="n">
        <v>49</v>
      </c>
      <c r="B206" s="0" t="inlineStr">
        <is>
          <t>FUNDING_GATE_LONG_MAX</t>
        </is>
      </c>
      <c r="C206" s="0" t="inlineStr">
        <is>
          <t>0.0_ALT</t>
        </is>
      </c>
      <c r="D206" s="0" t="inlineStr">
        <is>
          <t>Max funding to allow longs (above blocks longs). | Live read: `LED', 'ENTRY_VOL_SPIKE_LOOKBACK', 'ENTRY_VOL_SPIKE_RATIO', 'ENTRY_WILLR_ENABLED'`</t>
        </is>
      </c>
      <c r="E206" s="0" t="inlineStr">
        <is>
          <t>ENTRY, GLOBAL_CHECK, STOCKS_EXIT</t>
        </is>
      </c>
      <c r="F206" s="0" t="inlineStr">
        <is>
          <t>ENTRY, GLOBAL_CHECK, STOCKS_EXIT</t>
        </is>
      </c>
      <c r="G206" s="0" t="inlineStr">
        <is>
          <t>Funding gate</t>
        </is>
      </c>
      <c r="H206" s="0" t="inlineStr">
        <is>
          <t>GENERAL — uniform</t>
        </is>
      </c>
      <c r="I206" s="0" t="inlineStr">
        <is>
          <t>LIVE — wired</t>
        </is>
      </c>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0" t="n">
        <v>50</v>
      </c>
      <c r="B207" s="0" t="inlineStr">
        <is>
          <t>FUNDING_GATE_MTF_REQUIRED</t>
        </is>
      </c>
      <c r="C207" s="0" t="inlineStr">
        <is>
          <t>0.0</t>
        </is>
      </c>
      <c r="D207" s="0" t="inlineStr">
        <is>
          <t>Requires funding gate on N TFs. | Live read: `RY_WILLR_ENABLED', 'ENTRY_WILLR_LOOKBACK', 'ENTRY_WILLR_OB_THRESHOLD', 'ENTRY_WI`</t>
        </is>
      </c>
      <c r="E207" s="0" t="inlineStr">
        <is>
          <t>ENTRY, GLOBAL_CHECK, STOCKS_EXIT</t>
        </is>
      </c>
      <c r="F207" s="0" t="inlineStr">
        <is>
          <t>ENTRY, GLOBAL_CHECK, STOCKS_EXIT</t>
        </is>
      </c>
      <c r="G207" s="0" t="inlineStr">
        <is>
          <t>Funding gate</t>
        </is>
      </c>
      <c r="H207" s="0" t="inlineStr">
        <is>
          <t>GENERAL — uniform</t>
        </is>
      </c>
      <c r="I207" s="0" t="inlineStr">
        <is>
          <t>LIVE — wired</t>
        </is>
      </c>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0" t="n">
        <v>50</v>
      </c>
      <c r="B208" s="0" t="inlineStr">
        <is>
          <t>FUNDING_GATE_MTF_REQUIRED</t>
        </is>
      </c>
      <c r="C208" s="0" t="inlineStr">
        <is>
          <t>0.0_ALT</t>
        </is>
      </c>
      <c r="D208" s="0" t="inlineStr">
        <is>
          <t>Requires funding gate on N TFs. | Live read: `RY_WILLR_ENABLED', 'ENTRY_WILLR_LOOKBACK', 'ENTRY_WILLR_OB_THRESHOLD', 'ENTRY_WI`</t>
        </is>
      </c>
      <c r="E208" s="0" t="inlineStr">
        <is>
          <t>ENTRY, GLOBAL_CHECK, STOCKS_EXIT</t>
        </is>
      </c>
      <c r="F208" s="0" t="inlineStr">
        <is>
          <t>ENTRY, GLOBAL_CHECK, STOCKS_EXIT</t>
        </is>
      </c>
      <c r="G208" s="0" t="inlineStr">
        <is>
          <t>Funding gate</t>
        </is>
      </c>
      <c r="H208" s="0" t="inlineStr">
        <is>
          <t>GENERAL — uniform</t>
        </is>
      </c>
      <c r="I208" s="0" t="inlineStr">
        <is>
          <t>LIVE — wired</t>
        </is>
      </c>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0" t="n">
        <v>51</v>
      </c>
      <c r="B209" s="0" t="inlineStr">
        <is>
          <t>FUNDING_GATE_SHORT_MIN</t>
        </is>
      </c>
      <c r="C209" s="0" t="inlineStr">
        <is>
          <t>0.0</t>
        </is>
      </c>
      <c r="D209" s="0" t="inlineStr">
        <is>
          <t>Min funding to allow shorts. | Live read: `', 'ENTRY_WILLR_OS_THRESHOLD', 'ENTRY_WILLR_THRESHOLD', 'ENTRY_WT_CROSS_EVENT_EN`</t>
        </is>
      </c>
      <c r="E209" s="0" t="inlineStr">
        <is>
          <t>ENTRY, GLOBAL_CHECK, STOCKS_EXIT</t>
        </is>
      </c>
      <c r="F209" s="0" t="inlineStr">
        <is>
          <t>ENTRY, GLOBAL_CHECK, STOCKS_EXIT</t>
        </is>
      </c>
      <c r="G209" s="0" t="inlineStr">
        <is>
          <t>Funding gate</t>
        </is>
      </c>
      <c r="H209" s="0" t="inlineStr">
        <is>
          <t>GENERAL — uniform</t>
        </is>
      </c>
      <c r="I209" s="0" t="inlineStr">
        <is>
          <t>LIVE — wired</t>
        </is>
      </c>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0" t="n">
        <v>51</v>
      </c>
      <c r="B210" s="0" t="inlineStr">
        <is>
          <t>FUNDING_GATE_SHORT_MIN</t>
        </is>
      </c>
      <c r="C210" s="0" t="inlineStr">
        <is>
          <t>0.0_ALT</t>
        </is>
      </c>
      <c r="D210" s="0" t="inlineStr">
        <is>
          <t>Min funding to allow shorts. | Live read: `', 'ENTRY_WILLR_OS_THRESHOLD', 'ENTRY_WILLR_THRESHOLD', 'ENTRY_WT_CROSS_EVENT_EN`</t>
        </is>
      </c>
      <c r="E210" s="0" t="inlineStr">
        <is>
          <t>ENTRY, GLOBAL_CHECK, STOCKS_EXIT</t>
        </is>
      </c>
      <c r="F210" s="0" t="inlineStr">
        <is>
          <t>ENTRY, GLOBAL_CHECK, STOCKS_EXIT</t>
        </is>
      </c>
      <c r="G210" s="0" t="inlineStr">
        <is>
          <t>Funding gate</t>
        </is>
      </c>
      <c r="H210" s="0" t="inlineStr">
        <is>
          <t>GENERAL — uniform</t>
        </is>
      </c>
      <c r="I210" s="0" t="inlineStr">
        <is>
          <t>LIVE — wired</t>
        </is>
      </c>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0" t="n">
        <v>52</v>
      </c>
      <c r="B211" s="0" t="inlineStr">
        <is>
          <t>GOLDEN_RULE_BASE_USD</t>
        </is>
      </c>
      <c r="C211" s="0" t="inlineStr">
        <is>
          <t>0.0</t>
        </is>
      </c>
      <c r="D211" s="0" t="inlineStr">
        <is>
          <t>Golden Rule base notional USD. | Live read: `RY_WT_CROSS_EVENT_ENABLED', 'ENTRY_WT_CROSS_LOOKBACK', 'FIRST_OPEN_THROTTLE_ENAB`</t>
        </is>
      </c>
      <c r="E211" s="0" t="inlineStr">
        <is>
          <t>GLOBAL_CHECK, STOCKS_EXIT</t>
        </is>
      </c>
      <c r="F211" s="0" t="inlineStr">
        <is>
          <t>GLOBAL_CHECK, STOCKS_EXIT</t>
        </is>
      </c>
      <c r="G211" s="0" t="inlineStr">
        <is>
          <t>GOLDEN_RULE_BASE_USD</t>
        </is>
      </c>
      <c r="H211" s="0" t="inlineStr">
        <is>
          <t>GENERAL</t>
        </is>
      </c>
      <c r="I211" s="0" t="inlineStr">
        <is>
          <t>LIVE — wired</t>
        </is>
      </c>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0" t="n">
        <v>52</v>
      </c>
      <c r="B212" s="0" t="inlineStr">
        <is>
          <t>GOLDEN_RULE_BASE_USD</t>
        </is>
      </c>
      <c r="C212" s="0" t="inlineStr">
        <is>
          <t>0.0_ALT</t>
        </is>
      </c>
      <c r="D212" s="0" t="inlineStr">
        <is>
          <t>Golden Rule base notional USD. | Live read: `RY_WT_CROSS_EVENT_ENABLED', 'ENTRY_WT_CROSS_LOOKBACK', 'FIRST_OPEN_THROTTLE_ENAB`</t>
        </is>
      </c>
      <c r="E212" s="0" t="inlineStr">
        <is>
          <t>GLOBAL_CHECK, STOCKS_EXIT</t>
        </is>
      </c>
      <c r="F212" s="0" t="inlineStr">
        <is>
          <t>GLOBAL_CHECK, STOCKS_EXIT</t>
        </is>
      </c>
      <c r="G212" s="0" t="inlineStr">
        <is>
          <t>GOLDEN_RULE_BASE_USD</t>
        </is>
      </c>
      <c r="H212" s="0" t="inlineStr">
        <is>
          <t>GENERAL</t>
        </is>
      </c>
      <c r="I212" s="0" t="inlineStr">
        <is>
          <t>LIVE — wired</t>
        </is>
      </c>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0" t="n">
        <v>53</v>
      </c>
      <c r="B213" s="0" t="inlineStr">
        <is>
          <t>GOLDEN_RULE_ENFORCE_FILTER_TF</t>
        </is>
      </c>
      <c r="C213" s="0" t="inlineStr">
        <is>
          <t>OFF</t>
        </is>
      </c>
      <c r="D213" s="0" t="inlineStr">
        <is>
          <t>Golden Rule enforcement TF. | Live read: `SHOLD_PCT', 'DC_BREAK_FILTER_TF', 'DC_LOW4_BYPASS_USE_STANDARD', 'DC_MOMENTUM_BO`</t>
        </is>
      </c>
      <c r="E213" s="0" t="inlineStr">
        <is>
          <t>GLOBAL_CHECK</t>
        </is>
      </c>
      <c r="F213" s="0" t="inlineStr">
        <is>
          <t>GLOBAL_CHECK</t>
        </is>
      </c>
      <c r="G213" s="0" t="inlineStr">
        <is>
          <t>GOLDEN_RULE_ENFORCE</t>
        </is>
      </c>
      <c r="H213" s="0" t="inlineStr">
        <is>
          <t>SPECIFIC — only gated switches</t>
        </is>
      </c>
      <c r="I213" s="0" t="inlineStr">
        <is>
          <t>LIVE — wired</t>
        </is>
      </c>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0" t="n">
        <v>53</v>
      </c>
      <c r="B214" s="0" t="inlineStr">
        <is>
          <t>GOLDEN_RULE_ENFORCE_FILTER_TF</t>
        </is>
      </c>
      <c r="C214" s="0" t="inlineStr">
        <is>
          <t>D</t>
        </is>
      </c>
      <c r="D214" s="0" t="inlineStr">
        <is>
          <t>Golden Rule enforcement TF. | Live read: `SHOLD_PCT', 'DC_BREAK_FILTER_TF', 'DC_LOW4_BYPASS_USE_STANDARD', 'DC_MOMENTUM_BO`</t>
        </is>
      </c>
      <c r="E214" s="0" t="inlineStr">
        <is>
          <t>GLOBAL_CHECK</t>
        </is>
      </c>
      <c r="F214" s="0" t="inlineStr">
        <is>
          <t>GLOBAL_CHECK</t>
        </is>
      </c>
      <c r="G214" s="0" t="inlineStr">
        <is>
          <t>GOLDEN_RULE_ENFORCE</t>
        </is>
      </c>
      <c r="H214" s="0" t="inlineStr">
        <is>
          <t>SPECIFIC — only gated switches</t>
        </is>
      </c>
      <c r="I214" s="0" t="inlineStr">
        <is>
          <t>LIVE — wired</t>
        </is>
      </c>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0" t="n">
        <v>53</v>
      </c>
      <c r="B215" s="0" t="inlineStr">
        <is>
          <t>GOLDEN_RULE_ENFORCE_FILTER_TF</t>
        </is>
      </c>
      <c r="C215" s="0" t="inlineStr">
        <is>
          <t>4h</t>
        </is>
      </c>
      <c r="D215" s="0" t="inlineStr">
        <is>
          <t>Golden Rule enforcement TF. | Live read: `SHOLD_PCT', 'DC_BREAK_FILTER_TF', 'DC_LOW4_BYPASS_USE_STANDARD', 'DC_MOMENTUM_BO`</t>
        </is>
      </c>
      <c r="E215" s="0" t="inlineStr">
        <is>
          <t>GLOBAL_CHECK</t>
        </is>
      </c>
      <c r="F215" s="0" t="inlineStr">
        <is>
          <t>GLOBAL_CHECK</t>
        </is>
      </c>
      <c r="G215" s="0" t="inlineStr">
        <is>
          <t>GOLDEN_RULE_ENFORCE</t>
        </is>
      </c>
      <c r="H215" s="0" t="inlineStr">
        <is>
          <t>SPECIFIC — only gated switches</t>
        </is>
      </c>
      <c r="I215" s="0" t="inlineStr">
        <is>
          <t>LIVE — wired</t>
        </is>
      </c>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0" t="n">
        <v>53</v>
      </c>
      <c r="B216" s="0" t="inlineStr">
        <is>
          <t>GOLDEN_RULE_ENFORCE_FILTER_TF</t>
        </is>
      </c>
      <c r="C216" s="0" t="inlineStr">
        <is>
          <t>1h</t>
        </is>
      </c>
      <c r="D216" s="0" t="inlineStr">
        <is>
          <t>Golden Rule enforcement TF. | Live read: `SHOLD_PCT', 'DC_BREAK_FILTER_TF', 'DC_LOW4_BYPASS_USE_STANDARD', 'DC_MOMENTUM_BO`</t>
        </is>
      </c>
      <c r="E216" s="0" t="inlineStr">
        <is>
          <t>GLOBAL_CHECK</t>
        </is>
      </c>
      <c r="F216" s="0" t="inlineStr">
        <is>
          <t>GLOBAL_CHECK</t>
        </is>
      </c>
      <c r="G216" s="0" t="inlineStr">
        <is>
          <t>GOLDEN_RULE_ENFORCE</t>
        </is>
      </c>
      <c r="H216" s="0" t="inlineStr">
        <is>
          <t>SPECIFIC — only gated switches</t>
        </is>
      </c>
      <c r="I216" s="0" t="inlineStr">
        <is>
          <t>LIVE — wired</t>
        </is>
      </c>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0" t="n">
        <v>53</v>
      </c>
      <c r="B217" s="0" t="inlineStr">
        <is>
          <t>GOLDEN_RULE_ENFORCE_FILTER_TF</t>
        </is>
      </c>
      <c r="C217" s="0" t="inlineStr">
        <is>
          <t>15m</t>
        </is>
      </c>
      <c r="D217" s="0" t="inlineStr">
        <is>
          <t>Golden Rule enforcement TF. | Live read: `SHOLD_PCT', 'DC_BREAK_FILTER_TF', 'DC_LOW4_BYPASS_USE_STANDARD', 'DC_MOMENTUM_BO`</t>
        </is>
      </c>
      <c r="E217" s="0" t="inlineStr">
        <is>
          <t>GLOBAL_CHECK</t>
        </is>
      </c>
      <c r="F217" s="0" t="inlineStr">
        <is>
          <t>GLOBAL_CHECK</t>
        </is>
      </c>
      <c r="G217" s="0" t="inlineStr">
        <is>
          <t>GOLDEN_RULE_ENFORCE</t>
        </is>
      </c>
      <c r="H217" s="0" t="inlineStr">
        <is>
          <t>SPECIFIC — only gated switches</t>
        </is>
      </c>
      <c r="I217" s="0" t="inlineStr">
        <is>
          <t>LIVE — wired</t>
        </is>
      </c>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0" t="n">
        <v>54</v>
      </c>
      <c r="B218" s="0" t="inlineStr">
        <is>
          <t>GOLDEN_RULE_HTF_VOTE_FILTER_TF</t>
        </is>
      </c>
      <c r="C218" s="0" t="inlineStr">
        <is>
          <t>OFF</t>
        </is>
      </c>
      <c r="D218" s="0" t="inlineStr">
        <is>
          <t>Golden Rule HTF vote TF. | Live read: `'DC_LOW4_BYPASS_USE_STANDARD', 'DC_MOMENTUM_BOTA_SCORER_FILTER_TF', 'DC_MOMENT_S`</t>
        </is>
      </c>
      <c r="E218" s="0" t="inlineStr">
        <is>
          <t>GLOBAL_CHECK</t>
        </is>
      </c>
      <c r="F218" s="0" t="inlineStr">
        <is>
          <t>GLOBAL_CHECK</t>
        </is>
      </c>
      <c r="G218" s="0" t="inlineStr">
        <is>
          <t>GOLDEN_RULE_HTF_VOTE</t>
        </is>
      </c>
      <c r="H218" s="0" t="inlineStr">
        <is>
          <t>SPECIFIC — only gated switches</t>
        </is>
      </c>
      <c r="I218" s="0" t="inlineStr">
        <is>
          <t>LIVE — wired</t>
        </is>
      </c>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0" t="n">
        <v>54</v>
      </c>
      <c r="B219" s="0" t="inlineStr">
        <is>
          <t>GOLDEN_RULE_HTF_VOTE_FILTER_TF</t>
        </is>
      </c>
      <c r="C219" s="0" t="inlineStr">
        <is>
          <t>D</t>
        </is>
      </c>
      <c r="D219" s="0" t="inlineStr">
        <is>
          <t>Golden Rule HTF vote TF. | Live read: `'DC_LOW4_BYPASS_USE_STANDARD', 'DC_MOMENTUM_BOTA_SCORER_FILTER_TF', 'DC_MOMENT_S`</t>
        </is>
      </c>
      <c r="E219" s="0" t="inlineStr">
        <is>
          <t>GLOBAL_CHECK</t>
        </is>
      </c>
      <c r="F219" s="0" t="inlineStr">
        <is>
          <t>GLOBAL_CHECK</t>
        </is>
      </c>
      <c r="G219" s="0" t="inlineStr">
        <is>
          <t>GOLDEN_RULE_HTF_VOTE</t>
        </is>
      </c>
      <c r="H219" s="0" t="inlineStr">
        <is>
          <t>SPECIFIC — only gated switches</t>
        </is>
      </c>
      <c r="I219" s="0" t="inlineStr">
        <is>
          <t>LIVE — wired</t>
        </is>
      </c>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0" t="n">
        <v>54</v>
      </c>
      <c r="B220" s="0" t="inlineStr">
        <is>
          <t>GOLDEN_RULE_HTF_VOTE_FILTER_TF</t>
        </is>
      </c>
      <c r="C220" s="0" t="inlineStr">
        <is>
          <t>4h</t>
        </is>
      </c>
      <c r="D220" s="0" t="inlineStr">
        <is>
          <t>Golden Rule HTF vote TF. | Live read: `'DC_LOW4_BYPASS_USE_STANDARD', 'DC_MOMENTUM_BOTA_SCORER_FILTER_TF', 'DC_MOMENT_S`</t>
        </is>
      </c>
      <c r="E220" s="0" t="inlineStr">
        <is>
          <t>GLOBAL_CHECK</t>
        </is>
      </c>
      <c r="F220" s="0" t="inlineStr">
        <is>
          <t>GLOBAL_CHECK</t>
        </is>
      </c>
      <c r="G220" s="0" t="inlineStr">
        <is>
          <t>GOLDEN_RULE_HTF_VOTE</t>
        </is>
      </c>
      <c r="H220" s="0" t="inlineStr">
        <is>
          <t>SPECIFIC — only gated switches</t>
        </is>
      </c>
      <c r="I220" s="0" t="inlineStr">
        <is>
          <t>LIVE — wired</t>
        </is>
      </c>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0" t="n">
        <v>54</v>
      </c>
      <c r="B221" s="0" t="inlineStr">
        <is>
          <t>GOLDEN_RULE_HTF_VOTE_FILTER_TF</t>
        </is>
      </c>
      <c r="C221" s="0" t="inlineStr">
        <is>
          <t>1h</t>
        </is>
      </c>
      <c r="D221" s="0" t="inlineStr">
        <is>
          <t>Golden Rule HTF vote TF. | Live read: `'DC_LOW4_BYPASS_USE_STANDARD', 'DC_MOMENTUM_BOTA_SCORER_FILTER_TF', 'DC_MOMENT_S`</t>
        </is>
      </c>
      <c r="E221" s="0" t="inlineStr">
        <is>
          <t>GLOBAL_CHECK</t>
        </is>
      </c>
      <c r="F221" s="0" t="inlineStr">
        <is>
          <t>GLOBAL_CHECK</t>
        </is>
      </c>
      <c r="G221" s="0" t="inlineStr">
        <is>
          <t>GOLDEN_RULE_HTF_VOTE</t>
        </is>
      </c>
      <c r="H221" s="0" t="inlineStr">
        <is>
          <t>SPECIFIC — only gated switches</t>
        </is>
      </c>
      <c r="I221" s="0" t="inlineStr">
        <is>
          <t>LIVE — wired</t>
        </is>
      </c>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0" t="n">
        <v>54</v>
      </c>
      <c r="B222" s="0" t="inlineStr">
        <is>
          <t>GOLDEN_RULE_HTF_VOTE_FILTER_TF</t>
        </is>
      </c>
      <c r="C222" s="0" t="inlineStr">
        <is>
          <t>15m</t>
        </is>
      </c>
      <c r="D222" s="0" t="inlineStr">
        <is>
          <t>Golden Rule HTF vote TF. | Live read: `'DC_LOW4_BYPASS_USE_STANDARD', 'DC_MOMENTUM_BOTA_SCORER_FILTER_TF', 'DC_MOMENT_S`</t>
        </is>
      </c>
      <c r="E222" s="0" t="inlineStr">
        <is>
          <t>GLOBAL_CHECK</t>
        </is>
      </c>
      <c r="F222" s="0" t="inlineStr">
        <is>
          <t>GLOBAL_CHECK</t>
        </is>
      </c>
      <c r="G222" s="0" t="inlineStr">
        <is>
          <t>GOLDEN_RULE_HTF_VOTE</t>
        </is>
      </c>
      <c r="H222" s="0" t="inlineStr">
        <is>
          <t>SPECIFIC — only gated switches</t>
        </is>
      </c>
      <c r="I222" s="0" t="inlineStr">
        <is>
          <t>LIVE — wired</t>
        </is>
      </c>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0" t="n">
        <v>55</v>
      </c>
      <c r="B223" s="0" t="inlineStr">
        <is>
          <t>GR_FILTER_ALL_ENTRIES</t>
        </is>
      </c>
      <c r="C223" s="0" t="inlineStr">
        <is>
          <t>0.0</t>
        </is>
      </c>
      <c r="D223" s="0" t="inlineStr">
        <is>
          <t>When True, Golden Rule filters ALL entries (otherwise only breakouts). | Live read: `G_GATE_MTF_REQUIRED', 'FUNDING_GATE_MTF_SHORT_MAX_BEAR_TFS', 'FUNDING_GATE_SHORT`</t>
        </is>
      </c>
      <c r="E223" s="0" t="inlineStr">
        <is>
          <t>GLOBAL_CHECK, STOCKS_EXIT</t>
        </is>
      </c>
      <c r="F223" s="0" t="inlineStr">
        <is>
          <t>GLOBAL_CHECK, STOCKS_EXIT</t>
        </is>
      </c>
      <c r="G223" s="0" t="inlineStr">
        <is>
          <t>GR_FILTER_ALL_ENTRIES</t>
        </is>
      </c>
      <c r="H223" s="0" t="inlineStr">
        <is>
          <t>GENERAL — uniform</t>
        </is>
      </c>
      <c r="I223" s="0" t="inlineStr">
        <is>
          <t>LIVE — wired</t>
        </is>
      </c>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0" t="n">
        <v>55</v>
      </c>
      <c r="B224" s="0" t="inlineStr">
        <is>
          <t>GR_FILTER_ALL_ENTRIES</t>
        </is>
      </c>
      <c r="C224" s="0" t="inlineStr">
        <is>
          <t>0.0_ALT</t>
        </is>
      </c>
      <c r="D224" s="0" t="inlineStr">
        <is>
          <t>When True, Golden Rule filters ALL entries (otherwise only breakouts). | Live read: `G_GATE_MTF_REQUIRED', 'FUNDING_GATE_MTF_SHORT_MAX_BEAR_TFS', 'FUNDING_GATE_SHORT`</t>
        </is>
      </c>
      <c r="E224" s="0" t="inlineStr">
        <is>
          <t>GLOBAL_CHECK, STOCKS_EXIT</t>
        </is>
      </c>
      <c r="F224" s="0" t="inlineStr">
        <is>
          <t>GLOBAL_CHECK, STOCKS_EXIT</t>
        </is>
      </c>
      <c r="G224" s="0" t="inlineStr">
        <is>
          <t>GR_FILTER_ALL_ENTRIES</t>
        </is>
      </c>
      <c r="H224" s="0" t="inlineStr">
        <is>
          <t>GENERAL — uniform</t>
        </is>
      </c>
      <c r="I224" s="0" t="inlineStr">
        <is>
          <t>LIVE — wired</t>
        </is>
      </c>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0" t="n">
        <v>56</v>
      </c>
      <c r="B225" s="0" t="inlineStr">
        <is>
          <t>GR_FILTER_VEC_ENABLED</t>
        </is>
      </c>
      <c r="C225" s="0" t="inlineStr">
        <is>
          <t>False</t>
        </is>
      </c>
      <c r="D225" s="0" t="inlineStr">
        <is>
          <t>Vector Golden Rule filter enabled. | Live read: `C_MOMENTUM_BOTA_SCORER_FILTER_TF', 'DC_MOMENT_STRONG_THRESHOLD', 'DELTA_ENGINE_F`</t>
        </is>
      </c>
      <c r="E225" s="0" t="inlineStr">
        <is>
          <t>GLOBAL_CHECK</t>
        </is>
      </c>
      <c r="F225" s="0" t="inlineStr">
        <is>
          <t>GLOBAL_CHECK</t>
        </is>
      </c>
      <c r="G225" s="0" t="inlineStr">
        <is>
          <t>GR_FILTER_VEC_ENABLED</t>
        </is>
      </c>
      <c r="H225" s="0" t="inlineStr">
        <is>
          <t>GENERAL</t>
        </is>
      </c>
      <c r="I225" s="0" t="inlineStr">
        <is>
          <t>LIVE — wired</t>
        </is>
      </c>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0" t="n">
        <v>56</v>
      </c>
      <c r="B226" s="0" t="inlineStr">
        <is>
          <t>GR_FILTER_VEC_ENABLED</t>
        </is>
      </c>
      <c r="C226" s="0" t="inlineStr">
        <is>
          <t>True</t>
        </is>
      </c>
      <c r="D226" s="0" t="inlineStr">
        <is>
          <t>Vector Golden Rule filter enabled. | Live read: `C_MOMENTUM_BOTA_SCORER_FILTER_TF', 'DC_MOMENT_STRONG_THRESHOLD', 'DELTA_ENGINE_F`</t>
        </is>
      </c>
      <c r="E226" s="0" t="inlineStr">
        <is>
          <t>GLOBAL_CHECK</t>
        </is>
      </c>
      <c r="F226" s="0" t="inlineStr">
        <is>
          <t>GLOBAL_CHECK</t>
        </is>
      </c>
      <c r="G226" s="0" t="inlineStr">
        <is>
          <t>GR_FILTER_VEC_ENABLED</t>
        </is>
      </c>
      <c r="H226" s="0" t="inlineStr">
        <is>
          <t>GENERAL</t>
        </is>
      </c>
      <c r="I226" s="0" t="inlineStr">
        <is>
          <t>LIVE — wired</t>
        </is>
      </c>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0" t="n">
        <v>57</v>
      </c>
      <c r="B227" s="0" t="inlineStr">
        <is>
          <t>GR_FILTER_VEC_FILTER_TF</t>
        </is>
      </c>
      <c r="C227" s="0" t="inlineStr">
        <is>
          <t>OFF</t>
        </is>
      </c>
      <c r="D227"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0" t="inlineStr">
        <is>
          <t>GLOBAL_CHECK</t>
        </is>
      </c>
      <c r="F227" s="0" t="inlineStr">
        <is>
          <t>GLOBAL_CHECK</t>
        </is>
      </c>
      <c r="G227" s="0" t="inlineStr">
        <is>
          <t>GR_FILTER_VEC</t>
        </is>
      </c>
      <c r="H227" s="0" t="inlineStr">
        <is>
          <t>SPECIFIC — only gated switches</t>
        </is>
      </c>
      <c r="I227" s="0" t="inlineStr">
        <is>
          <t>LIVE — wired</t>
        </is>
      </c>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0" t="n">
        <v>57</v>
      </c>
      <c r="B228" s="0" t="inlineStr">
        <is>
          <t>GR_FILTER_VEC_FILTER_TF</t>
        </is>
      </c>
      <c r="C228" s="0" t="inlineStr">
        <is>
          <t>D</t>
        </is>
      </c>
      <c r="D228"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0" t="inlineStr">
        <is>
          <t>GLOBAL_CHECK</t>
        </is>
      </c>
      <c r="F228" s="0" t="inlineStr">
        <is>
          <t>GLOBAL_CHECK</t>
        </is>
      </c>
      <c r="G228" s="0" t="inlineStr">
        <is>
          <t>GR_FILTER_VEC</t>
        </is>
      </c>
      <c r="H228" s="0" t="inlineStr">
        <is>
          <t>SPECIFIC — only gated switches</t>
        </is>
      </c>
      <c r="I228" s="0" t="inlineStr">
        <is>
          <t>LIVE — wired</t>
        </is>
      </c>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0" t="n">
        <v>57</v>
      </c>
      <c r="B229" s="0" t="inlineStr">
        <is>
          <t>GR_FILTER_VEC_FILTER_TF</t>
        </is>
      </c>
      <c r="C229" s="0" t="inlineStr">
        <is>
          <t>4h</t>
        </is>
      </c>
      <c r="D229"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0" t="inlineStr">
        <is>
          <t>GLOBAL_CHECK</t>
        </is>
      </c>
      <c r="F229" s="0" t="inlineStr">
        <is>
          <t>GLOBAL_CHECK</t>
        </is>
      </c>
      <c r="G229" s="0" t="inlineStr">
        <is>
          <t>GR_FILTER_VEC</t>
        </is>
      </c>
      <c r="H229" s="0" t="inlineStr">
        <is>
          <t>SPECIFIC — only gated switches</t>
        </is>
      </c>
      <c r="I229" s="0" t="inlineStr">
        <is>
          <t>LIVE — wired</t>
        </is>
      </c>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0" t="n">
        <v>57</v>
      </c>
      <c r="B230" s="0" t="inlineStr">
        <is>
          <t>GR_FILTER_VEC_FILTER_TF</t>
        </is>
      </c>
      <c r="C230" s="0" t="inlineStr">
        <is>
          <t>1h</t>
        </is>
      </c>
      <c r="D230"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0" t="inlineStr">
        <is>
          <t>GLOBAL_CHECK</t>
        </is>
      </c>
      <c r="F230" s="0" t="inlineStr">
        <is>
          <t>GLOBAL_CHECK</t>
        </is>
      </c>
      <c r="G230" s="0" t="inlineStr">
        <is>
          <t>GR_FILTER_VEC</t>
        </is>
      </c>
      <c r="H230" s="0" t="inlineStr">
        <is>
          <t>SPECIFIC — only gated switches</t>
        </is>
      </c>
      <c r="I230" s="0" t="inlineStr">
        <is>
          <t>LIVE — wired</t>
        </is>
      </c>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0" t="n">
        <v>57</v>
      </c>
      <c r="B231" s="0" t="inlineStr">
        <is>
          <t>GR_FILTER_VEC_FILTER_TF</t>
        </is>
      </c>
      <c r="C231" s="0" t="inlineStr">
        <is>
          <t>15m</t>
        </is>
      </c>
      <c r="D231"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0" t="inlineStr">
        <is>
          <t>GLOBAL_CHECK</t>
        </is>
      </c>
      <c r="F231" s="0" t="inlineStr">
        <is>
          <t>GLOBAL_CHECK</t>
        </is>
      </c>
      <c r="G231" s="0" t="inlineStr">
        <is>
          <t>GR_FILTER_VEC</t>
        </is>
      </c>
      <c r="H231" s="0" t="inlineStr">
        <is>
          <t>SPECIFIC — only gated switches</t>
        </is>
      </c>
      <c r="I231" s="0" t="inlineStr">
        <is>
          <t>LIVE — wired</t>
        </is>
      </c>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0" t="n">
        <v>58</v>
      </c>
      <c r="B232" s="0" t="inlineStr">
        <is>
          <t>GR_FILTER_VEC_MIN_TFS</t>
        </is>
      </c>
      <c r="C232" s="0" t="inlineStr">
        <is>
          <t>0</t>
        </is>
      </c>
      <c r="D232" s="0" t="inlineStr">
        <is>
          <t>Threshold/gate: GR_FILTER_VEC_MIN_TFS — _THRESHOLD', 'DELTA_ENGINE_FILTER_TF', 'DELTA_GATE_DIRECTION_FAVORABLE', 'DELTA_HTF_GATE', 'DELTA_LT_HTF_GATE', 'DELTA_O | ex: `_THRESHOLD', 'DELTA_ENGINE_FILTER_TF', 'DELTA_GATE_DIRECTION_FAVORABLE', 'DELTA_`</t>
        </is>
      </c>
      <c r="E232" s="0" t="inlineStr">
        <is>
          <t>GLOBAL_CHECK</t>
        </is>
      </c>
      <c r="F232" s="0" t="inlineStr">
        <is>
          <t>GLOBAL_CHECK</t>
        </is>
      </c>
      <c r="G232" s="0" t="inlineStr">
        <is>
          <t>GR_FILTER_VEC_MIN_TFS</t>
        </is>
      </c>
      <c r="H232" s="0" t="inlineStr">
        <is>
          <t>GENERAL</t>
        </is>
      </c>
      <c r="I232" s="0" t="inlineStr">
        <is>
          <t>LIVE — wired</t>
        </is>
      </c>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0" t="n">
        <v>58</v>
      </c>
      <c r="B233" s="0" t="inlineStr">
        <is>
          <t>GR_FILTER_VEC_MIN_TFS</t>
        </is>
      </c>
      <c r="C233" s="0" t="inlineStr">
        <is>
          <t>2</t>
        </is>
      </c>
      <c r="D233" s="0" t="inlineStr">
        <is>
          <t>Threshold/gate: GR_FILTER_VEC_MIN_TFS — _THRESHOLD', 'DELTA_ENGINE_FILTER_TF', 'DELTA_GATE_DIRECTION_FAVORABLE', 'DELTA_HTF_GATE', 'DELTA_LT_HTF_GATE', 'DELTA_O | ex: `_THRESHOLD', 'DELTA_ENGINE_FILTER_TF', 'DELTA_GATE_DIRECTION_FAVORABLE', 'DELTA_`</t>
        </is>
      </c>
      <c r="E233" s="0" t="inlineStr">
        <is>
          <t>GLOBAL_CHECK</t>
        </is>
      </c>
      <c r="F233" s="0" t="inlineStr">
        <is>
          <t>GLOBAL_CHECK</t>
        </is>
      </c>
      <c r="G233" s="0" t="inlineStr">
        <is>
          <t>GR_FILTER_VEC_MIN_TFS</t>
        </is>
      </c>
      <c r="H233" s="0" t="inlineStr">
        <is>
          <t>GENERAL</t>
        </is>
      </c>
      <c r="I233" s="0" t="inlineStr">
        <is>
          <t>LIVE — wired</t>
        </is>
      </c>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0" t="n">
        <v>58</v>
      </c>
      <c r="B234" s="0" t="inlineStr">
        <is>
          <t>GR_FILTER_VEC_MIN_TFS</t>
        </is>
      </c>
      <c r="C234" s="0" t="inlineStr">
        <is>
          <t>1</t>
        </is>
      </c>
      <c r="D234" s="0" t="inlineStr">
        <is>
          <t>Threshold/gate: GR_FILTER_VEC_MIN_TFS — _THRESHOLD', 'DELTA_ENGINE_FILTER_TF', 'DELTA_GATE_DIRECTION_FAVORABLE', 'DELTA_HTF_GATE', 'DELTA_LT_HTF_GATE', 'DELTA_O | ex: `_THRESHOLD', 'DELTA_ENGINE_FILTER_TF', 'DELTA_GATE_DIRECTION_FAVORABLE', 'DELTA_`</t>
        </is>
      </c>
      <c r="E234" s="0" t="inlineStr">
        <is>
          <t>GLOBAL_CHECK</t>
        </is>
      </c>
      <c r="F234" s="0" t="inlineStr">
        <is>
          <t>GLOBAL_CHECK</t>
        </is>
      </c>
      <c r="G234" s="0" t="inlineStr">
        <is>
          <t>GR_FILTER_VEC_MIN_TFS</t>
        </is>
      </c>
      <c r="H234" s="0" t="inlineStr">
        <is>
          <t>GENERAL</t>
        </is>
      </c>
      <c r="I234" s="0" t="inlineStr">
        <is>
          <t>LIVE — wired</t>
        </is>
      </c>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0" t="n">
        <v>59</v>
      </c>
      <c r="B235" s="0" t="inlineStr">
        <is>
          <t>GR_V5_STATE_FILTER_TF</t>
        </is>
      </c>
      <c r="C235" s="0" t="inlineStr">
        <is>
          <t>OFF</t>
        </is>
      </c>
      <c r="D235" s="0" t="inlineStr">
        <is>
          <t>GR v5 state machine filter TF. | Live read: `, 'DELTA_HTF_GATE', 'DELTA_LT_HTF_GATE', 'DELTA_OPTIONS_HTF_GATE', 'DUP_GUARD_FI`</t>
        </is>
      </c>
      <c r="E235" s="0" t="inlineStr">
        <is>
          <t>GLOBAL_CHECK</t>
        </is>
      </c>
      <c r="F235" s="0" t="inlineStr">
        <is>
          <t>GLOBAL_CHECK</t>
        </is>
      </c>
      <c r="G235" s="0" t="inlineStr">
        <is>
          <t>GR_V5_STATE</t>
        </is>
      </c>
      <c r="H235" s="0" t="inlineStr">
        <is>
          <t>SPECIFIC — only gated switches</t>
        </is>
      </c>
      <c r="I235" s="0" t="inlineStr">
        <is>
          <t>LIVE — wired</t>
        </is>
      </c>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0" t="n">
        <v>59</v>
      </c>
      <c r="B236" s="0" t="inlineStr">
        <is>
          <t>GR_V5_STATE_FILTER_TF</t>
        </is>
      </c>
      <c r="C236" s="0" t="inlineStr">
        <is>
          <t>D</t>
        </is>
      </c>
      <c r="D236" s="0" t="inlineStr">
        <is>
          <t>GR v5 state machine filter TF. | Live read: `, 'DELTA_HTF_GATE', 'DELTA_LT_HTF_GATE', 'DELTA_OPTIONS_HTF_GATE', 'DUP_GUARD_FI`</t>
        </is>
      </c>
      <c r="E236" s="0" t="inlineStr">
        <is>
          <t>GLOBAL_CHECK</t>
        </is>
      </c>
      <c r="F236" s="0" t="inlineStr">
        <is>
          <t>GLOBAL_CHECK</t>
        </is>
      </c>
      <c r="G236" s="0" t="inlineStr">
        <is>
          <t>GR_V5_STATE</t>
        </is>
      </c>
      <c r="H236" s="0" t="inlineStr">
        <is>
          <t>SPECIFIC — only gated switches</t>
        </is>
      </c>
      <c r="I236" s="0" t="inlineStr">
        <is>
          <t>LIVE — wired</t>
        </is>
      </c>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0" t="n">
        <v>59</v>
      </c>
      <c r="B237" s="0" t="inlineStr">
        <is>
          <t>GR_V5_STATE_FILTER_TF</t>
        </is>
      </c>
      <c r="C237" s="0" t="inlineStr">
        <is>
          <t>4h</t>
        </is>
      </c>
      <c r="D237" s="0" t="inlineStr">
        <is>
          <t>GR v5 state machine filter TF. | Live read: `, 'DELTA_HTF_GATE', 'DELTA_LT_HTF_GATE', 'DELTA_OPTIONS_HTF_GATE', 'DUP_GUARD_FI`</t>
        </is>
      </c>
      <c r="E237" s="0" t="inlineStr">
        <is>
          <t>GLOBAL_CHECK</t>
        </is>
      </c>
      <c r="F237" s="0" t="inlineStr">
        <is>
          <t>GLOBAL_CHECK</t>
        </is>
      </c>
      <c r="G237" s="0" t="inlineStr">
        <is>
          <t>GR_V5_STATE</t>
        </is>
      </c>
      <c r="H237" s="0" t="inlineStr">
        <is>
          <t>SPECIFIC — only gated switches</t>
        </is>
      </c>
      <c r="I237" s="0" t="inlineStr">
        <is>
          <t>LIVE — wired</t>
        </is>
      </c>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0" t="n">
        <v>59</v>
      </c>
      <c r="B238" s="0" t="inlineStr">
        <is>
          <t>GR_V5_STATE_FILTER_TF</t>
        </is>
      </c>
      <c r="C238" s="0" t="inlineStr">
        <is>
          <t>1h</t>
        </is>
      </c>
      <c r="D238" s="0" t="inlineStr">
        <is>
          <t>GR v5 state machine filter TF. | Live read: `, 'DELTA_HTF_GATE', 'DELTA_LT_HTF_GATE', 'DELTA_OPTIONS_HTF_GATE', 'DUP_GUARD_FI`</t>
        </is>
      </c>
      <c r="E238" s="0" t="inlineStr">
        <is>
          <t>GLOBAL_CHECK</t>
        </is>
      </c>
      <c r="F238" s="0" t="inlineStr">
        <is>
          <t>GLOBAL_CHECK</t>
        </is>
      </c>
      <c r="G238" s="0" t="inlineStr">
        <is>
          <t>GR_V5_STATE</t>
        </is>
      </c>
      <c r="H238" s="0" t="inlineStr">
        <is>
          <t>SPECIFIC — only gated switches</t>
        </is>
      </c>
      <c r="I238" s="0" t="inlineStr">
        <is>
          <t>LIVE — wired</t>
        </is>
      </c>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0" t="n">
        <v>59</v>
      </c>
      <c r="B239" s="0" t="inlineStr">
        <is>
          <t>GR_V5_STATE_FILTER_TF</t>
        </is>
      </c>
      <c r="C239" s="0" t="inlineStr">
        <is>
          <t>15m</t>
        </is>
      </c>
      <c r="D239" s="0" t="inlineStr">
        <is>
          <t>GR v5 state machine filter TF. | Live read: `, 'DELTA_HTF_GATE', 'DELTA_LT_HTF_GATE', 'DELTA_OPTIONS_HTF_GATE', 'DUP_GUARD_FI`</t>
        </is>
      </c>
      <c r="E239" s="0" t="inlineStr">
        <is>
          <t>GLOBAL_CHECK</t>
        </is>
      </c>
      <c r="F239" s="0" t="inlineStr">
        <is>
          <t>GLOBAL_CHECK</t>
        </is>
      </c>
      <c r="G239" s="0" t="inlineStr">
        <is>
          <t>GR_V5_STATE</t>
        </is>
      </c>
      <c r="H239" s="0" t="inlineStr">
        <is>
          <t>SPECIFIC — only gated switches</t>
        </is>
      </c>
      <c r="I239" s="0" t="inlineStr">
        <is>
          <t>LIVE — wired</t>
        </is>
      </c>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0" t="n">
        <v>60</v>
      </c>
      <c r="B240" s="0" t="inlineStr">
        <is>
          <t>HAIKU_WINNER_FILTER_TF</t>
        </is>
      </c>
      <c r="C240" s="0" t="inlineStr">
        <is>
          <t>OFF</t>
        </is>
      </c>
      <c r="D240" s="0" t="inlineStr">
        <is>
          <t>Haiku winner (streak) filter TF. | Live read: `A_LT_HTF_GATE', 'DELTA_OPTIONS_HTF_GATE', 'DUP_GUARD_FILTER_TF', 'EMA_9_21_FILTE`</t>
        </is>
      </c>
      <c r="E240" s="0" t="inlineStr">
        <is>
          <t>GLOBAL_CHECK</t>
        </is>
      </c>
      <c r="F240" s="0" t="inlineStr">
        <is>
          <t>GLOBAL_CHECK</t>
        </is>
      </c>
      <c r="G240" s="0" t="inlineStr">
        <is>
          <t>HAIKU_WINNER</t>
        </is>
      </c>
      <c r="H240" s="0" t="inlineStr">
        <is>
          <t>SPECIFIC — only gated switches</t>
        </is>
      </c>
      <c r="I240" s="0" t="inlineStr">
        <is>
          <t>LIVE — wired</t>
        </is>
      </c>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0" t="n">
        <v>60</v>
      </c>
      <c r="B241" s="0" t="inlineStr">
        <is>
          <t>HAIKU_WINNER_FILTER_TF</t>
        </is>
      </c>
      <c r="C241" s="0" t="inlineStr">
        <is>
          <t>D</t>
        </is>
      </c>
      <c r="D241" s="0" t="inlineStr">
        <is>
          <t>Haiku winner (streak) filter TF. | Live read: `A_LT_HTF_GATE', 'DELTA_OPTIONS_HTF_GATE', 'DUP_GUARD_FILTER_TF', 'EMA_9_21_FILTE`</t>
        </is>
      </c>
      <c r="E241" s="0" t="inlineStr">
        <is>
          <t>GLOBAL_CHECK</t>
        </is>
      </c>
      <c r="F241" s="0" t="inlineStr">
        <is>
          <t>GLOBAL_CHECK</t>
        </is>
      </c>
      <c r="G241" s="0" t="inlineStr">
        <is>
          <t>HAIKU_WINNER</t>
        </is>
      </c>
      <c r="H241" s="0" t="inlineStr">
        <is>
          <t>SPECIFIC — only gated switches</t>
        </is>
      </c>
      <c r="I241" s="0" t="inlineStr">
        <is>
          <t>LIVE — wired</t>
        </is>
      </c>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0" t="n">
        <v>60</v>
      </c>
      <c r="B242" s="0" t="inlineStr">
        <is>
          <t>HAIKU_WINNER_FILTER_TF</t>
        </is>
      </c>
      <c r="C242" s="0" t="inlineStr">
        <is>
          <t>4h</t>
        </is>
      </c>
      <c r="D242" s="0" t="inlineStr">
        <is>
          <t>Haiku winner (streak) filter TF. | Live read: `A_LT_HTF_GATE', 'DELTA_OPTIONS_HTF_GATE', 'DUP_GUARD_FILTER_TF', 'EMA_9_21_FILTE`</t>
        </is>
      </c>
      <c r="E242" s="0" t="inlineStr">
        <is>
          <t>GLOBAL_CHECK</t>
        </is>
      </c>
      <c r="F242" s="0" t="inlineStr">
        <is>
          <t>GLOBAL_CHECK</t>
        </is>
      </c>
      <c r="G242" s="0" t="inlineStr">
        <is>
          <t>HAIKU_WINNER</t>
        </is>
      </c>
      <c r="H242" s="0" t="inlineStr">
        <is>
          <t>SPECIFIC — only gated switches</t>
        </is>
      </c>
      <c r="I242" s="0" t="inlineStr">
        <is>
          <t>LIVE — wired</t>
        </is>
      </c>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0" t="n">
        <v>60</v>
      </c>
      <c r="B243" s="0" t="inlineStr">
        <is>
          <t>HAIKU_WINNER_FILTER_TF</t>
        </is>
      </c>
      <c r="C243" s="0" t="inlineStr">
        <is>
          <t>1h</t>
        </is>
      </c>
      <c r="D243" s="0" t="inlineStr">
        <is>
          <t>Haiku winner (streak) filter TF. | Live read: `A_LT_HTF_GATE', 'DELTA_OPTIONS_HTF_GATE', 'DUP_GUARD_FILTER_TF', 'EMA_9_21_FILTE`</t>
        </is>
      </c>
      <c r="E243" s="0" t="inlineStr">
        <is>
          <t>GLOBAL_CHECK</t>
        </is>
      </c>
      <c r="F243" s="0" t="inlineStr">
        <is>
          <t>GLOBAL_CHECK</t>
        </is>
      </c>
      <c r="G243" s="0" t="inlineStr">
        <is>
          <t>HAIKU_WINNER</t>
        </is>
      </c>
      <c r="H243" s="0" t="inlineStr">
        <is>
          <t>SPECIFIC — only gated switches</t>
        </is>
      </c>
      <c r="I243" s="0" t="inlineStr">
        <is>
          <t>LIVE — wired</t>
        </is>
      </c>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0" t="n">
        <v>60</v>
      </c>
      <c r="B244" s="0" t="inlineStr">
        <is>
          <t>HAIKU_WINNER_FILTER_TF</t>
        </is>
      </c>
      <c r="C244" s="0" t="inlineStr">
        <is>
          <t>15m</t>
        </is>
      </c>
      <c r="D244" s="0" t="inlineStr">
        <is>
          <t>Haiku winner (streak) filter TF. | Live read: `A_LT_HTF_GATE', 'DELTA_OPTIONS_HTF_GATE', 'DUP_GUARD_FILTER_TF', 'EMA_9_21_FILTE`</t>
        </is>
      </c>
      <c r="E244" s="0" t="inlineStr">
        <is>
          <t>GLOBAL_CHECK</t>
        </is>
      </c>
      <c r="F244" s="0" t="inlineStr">
        <is>
          <t>GLOBAL_CHECK</t>
        </is>
      </c>
      <c r="G244" s="0" t="inlineStr">
        <is>
          <t>HAIKU_WINNER</t>
        </is>
      </c>
      <c r="H244" s="0" t="inlineStr">
        <is>
          <t>SPECIFIC — only gated switches</t>
        </is>
      </c>
      <c r="I244" s="0" t="inlineStr">
        <is>
          <t>LIVE — wired</t>
        </is>
      </c>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0" t="n">
        <v>61</v>
      </c>
      <c r="B245" s="0" t="inlineStr">
        <is>
          <t>HA_WICK_QUALITY_ENABLED</t>
        </is>
      </c>
      <c r="C245" s="0" t="inlineStr">
        <is>
          <t>False</t>
        </is>
      </c>
      <c r="D245" s="0" t="inlineStr">
        <is>
          <t>HA wick quality gate enabled (Heikin-Ashi). | Live read: `BLED', 'DC_BREAKOUT_TF', 'DELTA_ENTRY_MIN_TF', 'DELTA_EXIT_MANDATORY_REENTRY_ENA`</t>
        </is>
      </c>
      <c r="E245" s="0" t="inlineStr">
        <is>
          <t>ENTRY, GLOBAL_CHECK, STOCKS_EXIT</t>
        </is>
      </c>
      <c r="F245" s="0" t="inlineStr">
        <is>
          <t>ENTRY, GLOBAL_CHECK, STOCKS_EXIT</t>
        </is>
      </c>
      <c r="G245" s="0" t="inlineStr">
        <is>
          <t>HA_WICK_QUALITY_ENABLED</t>
        </is>
      </c>
      <c r="H245" s="0" t="inlineStr">
        <is>
          <t>GENERAL</t>
        </is>
      </c>
      <c r="I245" s="0" t="inlineStr">
        <is>
          <t>LIVE — wired</t>
        </is>
      </c>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0" t="n">
        <v>61</v>
      </c>
      <c r="B246" s="0" t="inlineStr">
        <is>
          <t>HA_WICK_QUALITY_ENABLED</t>
        </is>
      </c>
      <c r="C246" s="0" t="inlineStr">
        <is>
          <t>True</t>
        </is>
      </c>
      <c r="D246" s="0" t="inlineStr">
        <is>
          <t>HA wick quality gate enabled (Heikin-Ashi). | Live read: `BLED', 'DC_BREAKOUT_TF', 'DELTA_ENTRY_MIN_TF', 'DELTA_EXIT_MANDATORY_REENTRY_ENA`</t>
        </is>
      </c>
      <c r="E246" s="0" t="inlineStr">
        <is>
          <t>ENTRY, GLOBAL_CHECK, STOCKS_EXIT</t>
        </is>
      </c>
      <c r="F246" s="0" t="inlineStr">
        <is>
          <t>ENTRY, GLOBAL_CHECK, STOCKS_EXIT</t>
        </is>
      </c>
      <c r="G246" s="0" t="inlineStr">
        <is>
          <t>HA_WICK_QUALITY_ENABLED</t>
        </is>
      </c>
      <c r="H246" s="0" t="inlineStr">
        <is>
          <t>GENERAL</t>
        </is>
      </c>
      <c r="I246" s="0" t="inlineStr">
        <is>
          <t>LIVE — wired</t>
        </is>
      </c>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0" t="n">
        <v>62</v>
      </c>
      <c r="B247" s="0" t="inlineStr">
        <is>
          <t>HA_WICK_QUALITY_SCORE</t>
        </is>
      </c>
      <c r="C247" s="0" t="inlineStr">
        <is>
          <t>15</t>
        </is>
      </c>
      <c r="D247" s="0" t="inlineStr">
        <is>
          <t>Threshold/gate: HA_WICK_QUALITY_SCORE — RULE_BASE_USD', 'GOLDEN_RULE_BB_15M_ENABLED', 'GOLDEN_RULE_BB_1H_ENABLED', 'GOLDEN_RULE_BB_4H_ENABLED', 'GOLDEN_RULE_BB_ | ex: `RULE_BASE_USD', 'GOLDEN_RULE_BB_15M_ENABLED', 'GOLDEN_RULE_BB_1H_ENABLED', 'GOLD`</t>
        </is>
      </c>
      <c r="E247" s="0" t="inlineStr">
        <is>
          <t>ENTRY, GLOBAL_CHECK, STOCKS_EXIT</t>
        </is>
      </c>
      <c r="F247" s="0" t="inlineStr">
        <is>
          <t>ENTRY, GLOBAL_CHECK, STOCKS_EXIT</t>
        </is>
      </c>
      <c r="G247" s="0" t="inlineStr">
        <is>
          <t>HA_WICK_QUALITY_SCORE</t>
        </is>
      </c>
      <c r="H247" s="0" t="inlineStr">
        <is>
          <t>GENERAL</t>
        </is>
      </c>
      <c r="I247" s="0" t="inlineStr">
        <is>
          <t>LIVE — wired</t>
        </is>
      </c>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0" t="n">
        <v>62</v>
      </c>
      <c r="B248" s="0" t="inlineStr">
        <is>
          <t>HA_WICK_QUALITY_SCORE</t>
        </is>
      </c>
      <c r="C248" s="0" t="inlineStr">
        <is>
          <t>15_ALT</t>
        </is>
      </c>
      <c r="D248" s="0" t="inlineStr">
        <is>
          <t>Threshold/gate: HA_WICK_QUALITY_SCORE — RULE_BASE_USD', 'GOLDEN_RULE_BB_15M_ENABLED', 'GOLDEN_RULE_BB_1H_ENABLED', 'GOLDEN_RULE_BB_4H_ENABLED', 'GOLDEN_RULE_BB_ | ex: `RULE_BASE_USD', 'GOLDEN_RULE_BB_15M_ENABLED', 'GOLDEN_RULE_BB_1H_ENABLED', 'GOLD`</t>
        </is>
      </c>
      <c r="E248" s="0" t="inlineStr">
        <is>
          <t>ENTRY, GLOBAL_CHECK, STOCKS_EXIT</t>
        </is>
      </c>
      <c r="F248" s="0" t="inlineStr">
        <is>
          <t>ENTRY, GLOBAL_CHECK, STOCKS_EXIT</t>
        </is>
      </c>
      <c r="G248" s="0" t="inlineStr">
        <is>
          <t>HA_WICK_QUALITY_SCORE</t>
        </is>
      </c>
      <c r="H248" s="0" t="inlineStr">
        <is>
          <t>GENERAL</t>
        </is>
      </c>
      <c r="I248" s="0" t="inlineStr">
        <is>
          <t>LIVE — wired</t>
        </is>
      </c>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0" t="n">
        <v>63</v>
      </c>
      <c r="B249" s="0" t="inlineStr">
        <is>
          <t>HA_WICK_QUALITY_TF</t>
        </is>
      </c>
      <c r="C249" s="0" t="inlineStr">
        <is>
          <t>OFF</t>
        </is>
      </c>
      <c r="D249" s="0" t="inlineStr">
        <is>
          <t>Threshold/gate: HA_WICK_QUALITY_TF — ELTA_ENTRY_MIN_TF', 'DELTA_EXIT_MANDATORY_REENTRY_ENABLED', 'DELTA_REENTRY_FILTER_ENABLED', 'DIRECTION_FAVORABLE_REENTRY | ex: `ELTA_ENTRY_MIN_TF', 'DELTA_EXIT_MANDATORY_REENTRY_ENABLED', 'DELTA_REENTRY_FILTE`</t>
        </is>
      </c>
      <c r="E249" s="0" t="inlineStr">
        <is>
          <t>ENTRY, GLOBAL_CHECK, STOCKS_EXIT</t>
        </is>
      </c>
      <c r="F249" s="0" t="inlineStr">
        <is>
          <t>ENTRY, GLOBAL_CHECK, STOCKS_EXIT</t>
        </is>
      </c>
      <c r="G249" s="0" t="inlineStr">
        <is>
          <t>HA_WICK_QUALITY_TF</t>
        </is>
      </c>
      <c r="H249" s="0" t="inlineStr">
        <is>
          <t>GENERAL</t>
        </is>
      </c>
      <c r="I249" s="0" t="inlineStr">
        <is>
          <t>LIVE — wired</t>
        </is>
      </c>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0" t="n">
        <v>63</v>
      </c>
      <c r="B250" s="0" t="inlineStr">
        <is>
          <t>HA_WICK_QUALITY_TF</t>
        </is>
      </c>
      <c r="C250" s="0" t="inlineStr">
        <is>
          <t>D</t>
        </is>
      </c>
      <c r="D250" s="0" t="inlineStr">
        <is>
          <t>Threshold/gate: HA_WICK_QUALITY_TF — ELTA_ENTRY_MIN_TF', 'DELTA_EXIT_MANDATORY_REENTRY_ENABLED', 'DELTA_REENTRY_FILTER_ENABLED', 'DIRECTION_FAVORABLE_REENTRY | ex: `ELTA_ENTRY_MIN_TF', 'DELTA_EXIT_MANDATORY_REENTRY_ENABLED', 'DELTA_REENTRY_FILTE`</t>
        </is>
      </c>
      <c r="E250" s="0" t="inlineStr">
        <is>
          <t>ENTRY, GLOBAL_CHECK, STOCKS_EXIT</t>
        </is>
      </c>
      <c r="F250" s="0" t="inlineStr">
        <is>
          <t>ENTRY, GLOBAL_CHECK, STOCKS_EXIT</t>
        </is>
      </c>
      <c r="G250" s="0" t="inlineStr">
        <is>
          <t>HA_WICK_QUALITY_TF</t>
        </is>
      </c>
      <c r="H250" s="0" t="inlineStr">
        <is>
          <t>GENERAL</t>
        </is>
      </c>
      <c r="I250" s="0" t="inlineStr">
        <is>
          <t>LIVE — wired</t>
        </is>
      </c>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0" t="n">
        <v>63</v>
      </c>
      <c r="B251" s="0" t="inlineStr">
        <is>
          <t>HA_WICK_QUALITY_TF</t>
        </is>
      </c>
      <c r="C251" s="0" t="inlineStr">
        <is>
          <t>4h</t>
        </is>
      </c>
      <c r="D251" s="0" t="inlineStr">
        <is>
          <t>Threshold/gate: HA_WICK_QUALITY_TF — ELTA_ENTRY_MIN_TF', 'DELTA_EXIT_MANDATORY_REENTRY_ENABLED', 'DELTA_REENTRY_FILTER_ENABLED', 'DIRECTION_FAVORABLE_REENTRY | ex: `ELTA_ENTRY_MIN_TF', 'DELTA_EXIT_MANDATORY_REENTRY_ENABLED', 'DELTA_REENTRY_FILTE`</t>
        </is>
      </c>
      <c r="E251" s="0" t="inlineStr">
        <is>
          <t>ENTRY, GLOBAL_CHECK, STOCKS_EXIT</t>
        </is>
      </c>
      <c r="F251" s="0" t="inlineStr">
        <is>
          <t>ENTRY, GLOBAL_CHECK, STOCKS_EXIT</t>
        </is>
      </c>
      <c r="G251" s="0" t="inlineStr">
        <is>
          <t>HA_WICK_QUALITY_TF</t>
        </is>
      </c>
      <c r="H251" s="0" t="inlineStr">
        <is>
          <t>GENERAL</t>
        </is>
      </c>
      <c r="I251" s="0" t="inlineStr">
        <is>
          <t>LIVE — wired</t>
        </is>
      </c>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0" t="n">
        <v>63</v>
      </c>
      <c r="B252" s="0" t="inlineStr">
        <is>
          <t>HA_WICK_QUALITY_TF</t>
        </is>
      </c>
      <c r="C252" s="0" t="inlineStr">
        <is>
          <t>1h</t>
        </is>
      </c>
      <c r="D252" s="0" t="inlineStr">
        <is>
          <t>Threshold/gate: HA_WICK_QUALITY_TF — ELTA_ENTRY_MIN_TF', 'DELTA_EXIT_MANDATORY_REENTRY_ENABLED', 'DELTA_REENTRY_FILTER_ENABLED', 'DIRECTION_FAVORABLE_REENTRY | ex: `ELTA_ENTRY_MIN_TF', 'DELTA_EXIT_MANDATORY_REENTRY_ENABLED', 'DELTA_REENTRY_FILTE`</t>
        </is>
      </c>
      <c r="E252" s="0" t="inlineStr">
        <is>
          <t>ENTRY, GLOBAL_CHECK, STOCKS_EXIT</t>
        </is>
      </c>
      <c r="F252" s="0" t="inlineStr">
        <is>
          <t>ENTRY, GLOBAL_CHECK, STOCKS_EXIT</t>
        </is>
      </c>
      <c r="G252" s="0" t="inlineStr">
        <is>
          <t>HA_WICK_QUALITY_TF</t>
        </is>
      </c>
      <c r="H252" s="0" t="inlineStr">
        <is>
          <t>GENERAL</t>
        </is>
      </c>
      <c r="I252" s="0" t="inlineStr">
        <is>
          <t>LIVE — wired</t>
        </is>
      </c>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0" t="n">
        <v>63</v>
      </c>
      <c r="B253" s="0" t="inlineStr">
        <is>
          <t>HA_WICK_QUALITY_TF</t>
        </is>
      </c>
      <c r="C253" s="0" t="inlineStr">
        <is>
          <t>15m</t>
        </is>
      </c>
      <c r="D253" s="0" t="inlineStr">
        <is>
          <t>Threshold/gate: HA_WICK_QUALITY_TF — ELTA_ENTRY_MIN_TF', 'DELTA_EXIT_MANDATORY_REENTRY_ENABLED', 'DELTA_REENTRY_FILTER_ENABLED', 'DIRECTION_FAVORABLE_REENTRY | ex: `ELTA_ENTRY_MIN_TF', 'DELTA_EXIT_MANDATORY_REENTRY_ENABLED', 'DELTA_REENTRY_FILTE`</t>
        </is>
      </c>
      <c r="E253" s="0" t="inlineStr">
        <is>
          <t>ENTRY, GLOBAL_CHECK, STOCKS_EXIT</t>
        </is>
      </c>
      <c r="F253" s="0" t="inlineStr">
        <is>
          <t>ENTRY, GLOBAL_CHECK, STOCKS_EXIT</t>
        </is>
      </c>
      <c r="G253" s="0" t="inlineStr">
        <is>
          <t>HA_WICK_QUALITY_TF</t>
        </is>
      </c>
      <c r="H253" s="0" t="inlineStr">
        <is>
          <t>GENERAL</t>
        </is>
      </c>
      <c r="I253" s="0" t="inlineStr">
        <is>
          <t>LIVE — wired</t>
        </is>
      </c>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0" t="n">
        <v>64</v>
      </c>
      <c r="B254" s="0" t="inlineStr">
        <is>
          <t>HLR_SMA_BAND_PCT</t>
        </is>
      </c>
      <c r="C254" s="0" t="inlineStr">
        <is>
          <t>0</t>
        </is>
      </c>
      <c r="D254" s="0" t="inlineStr">
        <is>
          <t>HLR band pct around SMA. | Live read: `'HLR_REENTRY_MULT_1H', 'HLR_REENTRY_MULT_4H', 'HLR_REENTRY_MULT_D', 'HLR_REENTRY`</t>
        </is>
      </c>
      <c r="E254" s="0" t="inlineStr">
        <is>
          <t>ENTRY, GLOBAL_CHECK, STOCKS_EXIT</t>
        </is>
      </c>
      <c r="F254" s="0" t="inlineStr">
        <is>
          <t>ENTRY, GLOBAL_CHECK, STOCKS_EXIT</t>
        </is>
      </c>
      <c r="G254" s="0" t="inlineStr">
        <is>
          <t>HLR_SMA_BAND_PCT</t>
        </is>
      </c>
      <c r="H254" s="0" t="inlineStr">
        <is>
          <t>GENERAL</t>
        </is>
      </c>
      <c r="I254" s="0" t="inlineStr">
        <is>
          <t>LIVE — wired</t>
        </is>
      </c>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0" t="n">
        <v>64</v>
      </c>
      <c r="B255" s="0" t="inlineStr">
        <is>
          <t>HLR_SMA_BAND_PCT</t>
        </is>
      </c>
      <c r="C255" s="0" t="inlineStr">
        <is>
          <t>2.0</t>
        </is>
      </c>
      <c r="D255" s="0" t="inlineStr">
        <is>
          <t>HLR band pct around SMA. | Live read: `'HLR_REENTRY_MULT_1H', 'HLR_REENTRY_MULT_4H', 'HLR_REENTRY_MULT_D', 'HLR_REENTRY`</t>
        </is>
      </c>
      <c r="E255" s="0" t="inlineStr">
        <is>
          <t>ENTRY, GLOBAL_CHECK, STOCKS_EXIT</t>
        </is>
      </c>
      <c r="F255" s="0" t="inlineStr">
        <is>
          <t>ENTRY, GLOBAL_CHECK, STOCKS_EXIT</t>
        </is>
      </c>
      <c r="G255" s="0" t="inlineStr">
        <is>
          <t>HLR_SMA_BAND_PCT</t>
        </is>
      </c>
      <c r="H255" s="0" t="inlineStr">
        <is>
          <t>GENERAL</t>
        </is>
      </c>
      <c r="I255" s="0" t="inlineStr">
        <is>
          <t>LIVE — wired</t>
        </is>
      </c>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0" t="n">
        <v>64</v>
      </c>
      <c r="B256" s="0" t="inlineStr">
        <is>
          <t>HLR_SMA_BAND_PCT</t>
        </is>
      </c>
      <c r="C256" s="0" t="inlineStr">
        <is>
          <t>1.0</t>
        </is>
      </c>
      <c r="D256" s="0" t="inlineStr">
        <is>
          <t>HLR band pct around SMA. | Live read: `'HLR_REENTRY_MULT_1H', 'HLR_REENTRY_MULT_4H', 'HLR_REENTRY_MULT_D', 'HLR_REENTRY`</t>
        </is>
      </c>
      <c r="E256" s="0" t="inlineStr">
        <is>
          <t>ENTRY, GLOBAL_CHECK, STOCKS_EXIT</t>
        </is>
      </c>
      <c r="F256" s="0" t="inlineStr">
        <is>
          <t>ENTRY, GLOBAL_CHECK, STOCKS_EXIT</t>
        </is>
      </c>
      <c r="G256" s="0" t="inlineStr">
        <is>
          <t>HLR_SMA_BAND_PCT</t>
        </is>
      </c>
      <c r="H256" s="0" t="inlineStr">
        <is>
          <t>GENERAL</t>
        </is>
      </c>
      <c r="I256" s="0" t="inlineStr">
        <is>
          <t>LIVE — wired</t>
        </is>
      </c>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0" t="n">
        <v>64</v>
      </c>
      <c r="B257" s="0" t="inlineStr">
        <is>
          <t>HLR_SMA_BAND_PCT</t>
        </is>
      </c>
      <c r="C257" s="0" t="inlineStr">
        <is>
          <t>0.5</t>
        </is>
      </c>
      <c r="D257" s="0" t="inlineStr">
        <is>
          <t>HLR band pct around SMA. | Live read: `'HLR_REENTRY_MULT_1H', 'HLR_REENTRY_MULT_4H', 'HLR_REENTRY_MULT_D', 'HLR_REENTRY`</t>
        </is>
      </c>
      <c r="E257" s="0" t="inlineStr">
        <is>
          <t>ENTRY, GLOBAL_CHECK, STOCKS_EXIT</t>
        </is>
      </c>
      <c r="F257" s="0" t="inlineStr">
        <is>
          <t>ENTRY, GLOBAL_CHECK, STOCKS_EXIT</t>
        </is>
      </c>
      <c r="G257" s="0" t="inlineStr">
        <is>
          <t>HLR_SMA_BAND_PCT</t>
        </is>
      </c>
      <c r="H257" s="0" t="inlineStr">
        <is>
          <t>GENERAL</t>
        </is>
      </c>
      <c r="I257" s="0" t="inlineStr">
        <is>
          <t>LIVE — wired</t>
        </is>
      </c>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0" t="n">
        <v>65</v>
      </c>
      <c r="B258" s="0" t="inlineStr">
        <is>
          <t>HLR_TOP_MIN_TFS</t>
        </is>
      </c>
      <c r="C258" s="0" t="inlineStr">
        <is>
          <t>0</t>
        </is>
      </c>
      <c r="D258" s="0" t="inlineStr">
        <is>
          <t>Min TFs for HLR top confirmation. | Live read: `'HLR_TOP_EXIT_ENABLED', 'HLR_TOP_MIN_GAIN_PCT', 'HLR_TOP_MIN_TFS', 'HLR_TOP_VEL_`</t>
        </is>
      </c>
      <c r="E258" s="0" t="inlineStr">
        <is>
          <t>GLOBAL_CHECK, REENTRY, STOCKS_EXIT</t>
        </is>
      </c>
      <c r="F258" s="0" t="inlineStr">
        <is>
          <t>GLOBAL_CHECK, REENTRY, STOCKS_EXIT</t>
        </is>
      </c>
      <c r="G258" s="0" t="inlineStr">
        <is>
          <t>HLR_TOP_MIN_TFS</t>
        </is>
      </c>
      <c r="H258" s="0" t="inlineStr">
        <is>
          <t>GENERAL</t>
        </is>
      </c>
      <c r="I258" s="0" t="inlineStr">
        <is>
          <t>LIVE — wired</t>
        </is>
      </c>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0" t="n">
        <v>65</v>
      </c>
      <c r="B259" s="0" t="inlineStr">
        <is>
          <t>HLR_TOP_MIN_TFS</t>
        </is>
      </c>
      <c r="C259" s="0" t="inlineStr">
        <is>
          <t>2</t>
        </is>
      </c>
      <c r="D259" s="0" t="inlineStr">
        <is>
          <t>Min TFs for HLR top confirmation. | Live read: `'HLR_TOP_EXIT_ENABLED', 'HLR_TOP_MIN_GAIN_PCT', 'HLR_TOP_MIN_TFS', 'HLR_TOP_VEL_`</t>
        </is>
      </c>
      <c r="E259" s="0" t="inlineStr">
        <is>
          <t>GLOBAL_CHECK, REENTRY, STOCKS_EXIT</t>
        </is>
      </c>
      <c r="F259" s="0" t="inlineStr">
        <is>
          <t>GLOBAL_CHECK, REENTRY, STOCKS_EXIT</t>
        </is>
      </c>
      <c r="G259" s="0" t="inlineStr">
        <is>
          <t>HLR_TOP_MIN_TFS</t>
        </is>
      </c>
      <c r="H259" s="0" t="inlineStr">
        <is>
          <t>GENERAL</t>
        </is>
      </c>
      <c r="I259" s="0" t="inlineStr">
        <is>
          <t>LIVE — wired</t>
        </is>
      </c>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0" t="n">
        <v>65</v>
      </c>
      <c r="B260" s="0" t="inlineStr">
        <is>
          <t>HLR_TOP_MIN_TFS</t>
        </is>
      </c>
      <c r="C260" s="0" t="inlineStr">
        <is>
          <t>1</t>
        </is>
      </c>
      <c r="D260" s="0" t="inlineStr">
        <is>
          <t>Min TFs for HLR top confirmation. | Live read: `'HLR_TOP_EXIT_ENABLED', 'HLR_TOP_MIN_GAIN_PCT', 'HLR_TOP_MIN_TFS', 'HLR_TOP_VEL_`</t>
        </is>
      </c>
      <c r="E260" s="0" t="inlineStr">
        <is>
          <t>GLOBAL_CHECK, REENTRY, STOCKS_EXIT</t>
        </is>
      </c>
      <c r="F260" s="0" t="inlineStr">
        <is>
          <t>GLOBAL_CHECK, REENTRY, STOCKS_EXIT</t>
        </is>
      </c>
      <c r="G260" s="0" t="inlineStr">
        <is>
          <t>HLR_TOP_MIN_TFS</t>
        </is>
      </c>
      <c r="H260" s="0" t="inlineStr">
        <is>
          <t>GENERAL</t>
        </is>
      </c>
      <c r="I260" s="0" t="inlineStr">
        <is>
          <t>LIVE — wired</t>
        </is>
      </c>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0" t="n">
        <v>66</v>
      </c>
      <c r="B261" s="0" t="inlineStr">
        <is>
          <t>HTF4_CONF</t>
        </is>
      </c>
      <c r="C261" s="0" t="inlineStr">
        <is>
          <t>False</t>
        </is>
      </c>
      <c r="D261" s="0" t="inlineStr">
        <is>
          <t>HTF 4h confirmation threshold. | Live read: `ILTER_TF', 'EMA_9_21_FILTER_FILTER_TF', 'EMA_9_21_FILTER_MIN_TFS', 'EMA_BLANKET_`</t>
        </is>
      </c>
      <c r="E261" s="0" t="inlineStr">
        <is>
          <t>GLOBAL_CHECK, STOCKS_EXIT</t>
        </is>
      </c>
      <c r="F261" s="0" t="inlineStr">
        <is>
          <t>GLOBAL_CHECK, STOCKS_EXIT</t>
        </is>
      </c>
      <c r="G261" s="0" t="inlineStr">
        <is>
          <t>HTF4_CONF</t>
        </is>
      </c>
      <c r="H261" s="0" t="inlineStr">
        <is>
          <t>GENERAL — uniform</t>
        </is>
      </c>
      <c r="I261" s="0" t="inlineStr">
        <is>
          <t>LIVE — wired</t>
        </is>
      </c>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0" t="n">
        <v>66</v>
      </c>
      <c r="B262" s="0" t="inlineStr">
        <is>
          <t>HTF4_CONF</t>
        </is>
      </c>
      <c r="C262" s="0" t="inlineStr">
        <is>
          <t>False_ALT</t>
        </is>
      </c>
      <c r="D262" s="0" t="inlineStr">
        <is>
          <t>HTF 4h confirmation threshold. | Live read: `ILTER_TF', 'EMA_9_21_FILTER_FILTER_TF', 'EMA_9_21_FILTER_MIN_TFS', 'EMA_BLANKET_`</t>
        </is>
      </c>
      <c r="E262" s="0" t="inlineStr">
        <is>
          <t>GLOBAL_CHECK, STOCKS_EXIT</t>
        </is>
      </c>
      <c r="F262" s="0" t="inlineStr">
        <is>
          <t>GLOBAL_CHECK, STOCKS_EXIT</t>
        </is>
      </c>
      <c r="G262" s="0" t="inlineStr">
        <is>
          <t>HTF4_CONF</t>
        </is>
      </c>
      <c r="H262" s="0" t="inlineStr">
        <is>
          <t>GENERAL — uniform</t>
        </is>
      </c>
      <c r="I262" s="0" t="inlineStr">
        <is>
          <t>LIVE — wired</t>
        </is>
      </c>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0" t="n">
        <v>67</v>
      </c>
      <c r="B263" s="0" t="inlineStr">
        <is>
          <t>HTF_DIRECTION_GATE_ENABLED</t>
        </is>
      </c>
      <c r="C263" s="0" t="inlineStr">
        <is>
          <t>False</t>
        </is>
      </c>
      <c r="D263" s="0" t="inlineStr">
        <is>
          <t>HTF direction gate (requires HTF trend alignment). | Live read: `NABLED', 'GOLDEN_RULE_BB_D_ENABLED', 'GOLDEN_RULE_BB_W_ENABLED', 'GOLDEN_RULE_DC`</t>
        </is>
      </c>
      <c r="E263" s="0" t="inlineStr">
        <is>
          <t>ENTRY, GLOBAL_CHECK, STOCKS_EXIT</t>
        </is>
      </c>
      <c r="F263" s="0" t="inlineStr">
        <is>
          <t>ENTRY, GLOBAL_CHECK, STOCKS_EXIT</t>
        </is>
      </c>
      <c r="G263" s="0" t="inlineStr">
        <is>
          <t>HTF direction</t>
        </is>
      </c>
      <c r="H263" s="0" t="inlineStr">
        <is>
          <t>GENERAL — uniform</t>
        </is>
      </c>
      <c r="I263" s="0" t="inlineStr">
        <is>
          <t>LIVE — wired</t>
        </is>
      </c>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0" t="n">
        <v>67</v>
      </c>
      <c r="B264" s="0" t="inlineStr">
        <is>
          <t>HTF_DIRECTION_GATE_ENABLED</t>
        </is>
      </c>
      <c r="C264" s="0" t="inlineStr">
        <is>
          <t>True</t>
        </is>
      </c>
      <c r="D264" s="0" t="inlineStr">
        <is>
          <t>HTF direction gate (requires HTF trend alignment). | Live read: `NABLED', 'GOLDEN_RULE_BB_D_ENABLED', 'GOLDEN_RULE_BB_W_ENABLED', 'GOLDEN_RULE_DC`</t>
        </is>
      </c>
      <c r="E264" s="0" t="inlineStr">
        <is>
          <t>ENTRY, GLOBAL_CHECK, STOCKS_EXIT</t>
        </is>
      </c>
      <c r="F264" s="0" t="inlineStr">
        <is>
          <t>ENTRY, GLOBAL_CHECK, STOCKS_EXIT</t>
        </is>
      </c>
      <c r="G264" s="0" t="inlineStr">
        <is>
          <t>HTF direction</t>
        </is>
      </c>
      <c r="H264" s="0" t="inlineStr">
        <is>
          <t>GENERAL — uniform</t>
        </is>
      </c>
      <c r="I264" s="0" t="inlineStr">
        <is>
          <t>LIVE — wired</t>
        </is>
      </c>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0" t="n">
        <v>68</v>
      </c>
      <c r="B265" s="0" t="inlineStr">
        <is>
          <t>HTF_GATE_BYPASS_RZ</t>
        </is>
      </c>
      <c r="C265" s="0" t="inlineStr">
        <is>
          <t>0.0</t>
        </is>
      </c>
      <c r="D265" s="0" t="inlineStr">
        <is>
          <t>Threshold/gate: HTF_GATE_BYPASS_RZ — NABLED', 'GOLDEN_RULE_DC_15M_ENABLED', 'GOLDEN_RULE_DC_1H_ENABLED', 'GOLDEN_RULE_DC_4H_ENABLED', 'GOLDEN_RULE_DC_D_ENABL | ex: `NABLED', 'GOLDEN_RULE_DC_15M_ENABLED', 'GOLDEN_RULE_DC_1H_ENABLED', 'GOLDEN_RULE`</t>
        </is>
      </c>
      <c r="E265" s="0" t="inlineStr">
        <is>
          <t>ENTRY, GLOBAL_CHECK, STOCKS_EXIT</t>
        </is>
      </c>
      <c r="F265" s="0" t="inlineStr">
        <is>
          <t>ENTRY, GLOBAL_CHECK, STOCKS_EXIT</t>
        </is>
      </c>
      <c r="G265" s="0" t="inlineStr">
        <is>
          <t>HTF_GATE_BYPASS_RZ</t>
        </is>
      </c>
      <c r="H265" s="0" t="inlineStr">
        <is>
          <t>GENERAL — uniform</t>
        </is>
      </c>
      <c r="I265" s="0" t="inlineStr">
        <is>
          <t>LIVE — wired</t>
        </is>
      </c>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0" t="n">
        <v>68</v>
      </c>
      <c r="B266" s="0" t="inlineStr">
        <is>
          <t>HTF_GATE_BYPASS_RZ</t>
        </is>
      </c>
      <c r="C266" s="0" t="inlineStr">
        <is>
          <t>0.0_ALT</t>
        </is>
      </c>
      <c r="D266" s="0" t="inlineStr">
        <is>
          <t>Threshold/gate: HTF_GATE_BYPASS_RZ — NABLED', 'GOLDEN_RULE_DC_15M_ENABLED', 'GOLDEN_RULE_DC_1H_ENABLED', 'GOLDEN_RULE_DC_4H_ENABLED', 'GOLDEN_RULE_DC_D_ENABL | ex: `NABLED', 'GOLDEN_RULE_DC_15M_ENABLED', 'GOLDEN_RULE_DC_1H_ENABLED', 'GOLDEN_RULE`</t>
        </is>
      </c>
      <c r="E266" s="0" t="inlineStr">
        <is>
          <t>ENTRY, GLOBAL_CHECK, STOCKS_EXIT</t>
        </is>
      </c>
      <c r="F266" s="0" t="inlineStr">
        <is>
          <t>ENTRY, GLOBAL_CHECK, STOCKS_EXIT</t>
        </is>
      </c>
      <c r="G266" s="0" t="inlineStr">
        <is>
          <t>HTF_GATE_BYPASS_RZ</t>
        </is>
      </c>
      <c r="H266" s="0" t="inlineStr">
        <is>
          <t>GENERAL — uniform</t>
        </is>
      </c>
      <c r="I266" s="0" t="inlineStr">
        <is>
          <t>LIVE — wired</t>
        </is>
      </c>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0" t="n">
        <v>69</v>
      </c>
      <c r="B267" s="0" t="inlineStr">
        <is>
          <t>HTF_GATE_D_MANDATORY</t>
        </is>
      </c>
      <c r="C267" s="0" t="inlineStr">
        <is>
          <t>0.0</t>
        </is>
      </c>
      <c r="D267" s="0" t="inlineStr">
        <is>
          <t>Threshold/gate: HTF_GATE_D_MANDATORY — DC_15M_ENABLED', 'GOLDEN_RULE_DC_1H_ENABLED', 'GOLDEN_RULE_DC_4H_ENABLED', 'GOLDEN_RULE_DC_D_ENABLED', 'GOLDEN_RULE_DC_W | ex: `DC_15M_ENABLED', 'GOLDEN_RULE_DC_1H_ENABLED', 'GOLDEN_RULE_DC_4H_ENABLED', 'GOLD`</t>
        </is>
      </c>
      <c r="E267" s="0" t="inlineStr">
        <is>
          <t>ENTRY, GLOBAL_CHECK, STOCKS_EXIT</t>
        </is>
      </c>
      <c r="F267" s="0" t="inlineStr">
        <is>
          <t>ENTRY, GLOBAL_CHECK, STOCKS_EXIT</t>
        </is>
      </c>
      <c r="G267" s="0" t="inlineStr">
        <is>
          <t>HTF_GATE_D_MANDATORY</t>
        </is>
      </c>
      <c r="H267" s="0" t="inlineStr">
        <is>
          <t>GENERAL — uniform</t>
        </is>
      </c>
      <c r="I267" s="0" t="inlineStr">
        <is>
          <t>LIVE — wired</t>
        </is>
      </c>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0" t="n">
        <v>69</v>
      </c>
      <c r="B268" s="0" t="inlineStr">
        <is>
          <t>HTF_GATE_D_MANDATORY</t>
        </is>
      </c>
      <c r="C268" s="0" t="inlineStr">
        <is>
          <t>0.0_ALT</t>
        </is>
      </c>
      <c r="D268" s="0" t="inlineStr">
        <is>
          <t>Threshold/gate: HTF_GATE_D_MANDATORY — DC_15M_ENABLED', 'GOLDEN_RULE_DC_1H_ENABLED', 'GOLDEN_RULE_DC_4H_ENABLED', 'GOLDEN_RULE_DC_D_ENABLED', 'GOLDEN_RULE_DC_W | ex: `DC_15M_ENABLED', 'GOLDEN_RULE_DC_1H_ENABLED', 'GOLDEN_RULE_DC_4H_ENABLED', 'GOLD`</t>
        </is>
      </c>
      <c r="E268" s="0" t="inlineStr">
        <is>
          <t>ENTRY, GLOBAL_CHECK, STOCKS_EXIT</t>
        </is>
      </c>
      <c r="F268" s="0" t="inlineStr">
        <is>
          <t>ENTRY, GLOBAL_CHECK, STOCKS_EXIT</t>
        </is>
      </c>
      <c r="G268" s="0" t="inlineStr">
        <is>
          <t>HTF_GATE_D_MANDATORY</t>
        </is>
      </c>
      <c r="H268" s="0" t="inlineStr">
        <is>
          <t>GENERAL — uniform</t>
        </is>
      </c>
      <c r="I268" s="0" t="inlineStr">
        <is>
          <t>LIVE — wired</t>
        </is>
      </c>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0" t="n">
        <v>70</v>
      </c>
      <c r="B269" s="0" t="inlineStr">
        <is>
          <t>HTF_GATE_MIN_CONFIRMATIONS</t>
        </is>
      </c>
      <c r="C269" s="0" t="inlineStr">
        <is>
          <t>0.0</t>
        </is>
      </c>
      <c r="D269" s="0" t="inlineStr">
        <is>
          <t>Threshold/gate: HTF_GATE_MIN_CONFIRMATIONS — _RULE_DC_1H_ENABLED', 'GOLDEN_RULE_DC_4H_ENABLED', 'GOLDEN_RULE_DC_D_ENABLED', 'GOLDEN_RULE_DC_W_ENABLED', 'GOLDEN_RULE_ | ex: `_RULE_DC_1H_ENABLED', 'GOLDEN_RULE_DC_4H_ENABLED', 'GOLDEN_RULE_DC_D_ENABLED', '`</t>
        </is>
      </c>
      <c r="E269" s="0" t="inlineStr">
        <is>
          <t>ENTRY, GLOBAL_CHECK, STOCKS_EXIT</t>
        </is>
      </c>
      <c r="F269" s="0" t="inlineStr">
        <is>
          <t>ENTRY, GLOBAL_CHECK, STOCKS_EXIT</t>
        </is>
      </c>
      <c r="G269" s="0" t="inlineStr">
        <is>
          <t>HTF_GATE_MIN_CONFIRMATIONS</t>
        </is>
      </c>
      <c r="H269" s="0" t="inlineStr">
        <is>
          <t>GENERAL — uniform</t>
        </is>
      </c>
      <c r="I269" s="0" t="inlineStr">
        <is>
          <t>LIVE — wired</t>
        </is>
      </c>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0" t="n">
        <v>70</v>
      </c>
      <c r="B270" s="0" t="inlineStr">
        <is>
          <t>HTF_GATE_MIN_CONFIRMATIONS</t>
        </is>
      </c>
      <c r="C270" s="0" t="inlineStr">
        <is>
          <t>0.0_ALT</t>
        </is>
      </c>
      <c r="D270" s="0" t="inlineStr">
        <is>
          <t>Threshold/gate: HTF_GATE_MIN_CONFIRMATIONS — _RULE_DC_1H_ENABLED', 'GOLDEN_RULE_DC_4H_ENABLED', 'GOLDEN_RULE_DC_D_ENABLED', 'GOLDEN_RULE_DC_W_ENABLED', 'GOLDEN_RULE_ | ex: `_RULE_DC_1H_ENABLED', 'GOLDEN_RULE_DC_4H_ENABLED', 'GOLDEN_RULE_DC_D_ENABLED', '`</t>
        </is>
      </c>
      <c r="E270" s="0" t="inlineStr">
        <is>
          <t>ENTRY, GLOBAL_CHECK, STOCKS_EXIT</t>
        </is>
      </c>
      <c r="F270" s="0" t="inlineStr">
        <is>
          <t>ENTRY, GLOBAL_CHECK, STOCKS_EXIT</t>
        </is>
      </c>
      <c r="G270" s="0" t="inlineStr">
        <is>
          <t>HTF_GATE_MIN_CONFIRMATIONS</t>
        </is>
      </c>
      <c r="H270" s="0" t="inlineStr">
        <is>
          <t>GENERAL — uniform</t>
        </is>
      </c>
      <c r="I270" s="0" t="inlineStr">
        <is>
          <t>LIVE — wired</t>
        </is>
      </c>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0" t="n">
        <v>71</v>
      </c>
      <c r="B271" s="0" t="inlineStr">
        <is>
          <t>HTF_TREND_VETO_BYPASS_ENABLED</t>
        </is>
      </c>
      <c r="C271" s="0" t="inlineStr">
        <is>
          <t>False</t>
        </is>
      </c>
      <c r="D271" s="0" t="inlineStr">
        <is>
          <t>Threshold/gate: HTF_TREND_VETO_BYPASS_ENABLED — TF', 'FG_FEAR_THRESHOLD', 'FG_GREED_THRESHOLD', 'FH_MOMENTUM_FILTER_TF', 'FUNDING_GATE_FILTER_TF', 'FUNDING_GATE_MIN_TFS | ex: `TF', 'FG_FEAR_THRESHOLD', 'FG_GREED_THRESHOLD', 'FH_MOMENTUM_FILTER_TF', 'FUNDIN`</t>
        </is>
      </c>
      <c r="E271" s="0" t="inlineStr">
        <is>
          <t>GLOBAL_CHECK, STOCKS_EXIT</t>
        </is>
      </c>
      <c r="F271" s="0" t="inlineStr">
        <is>
          <t>GLOBAL_CHECK, STOCKS_EXIT</t>
        </is>
      </c>
      <c r="G271" s="0" t="inlineStr">
        <is>
          <t>HTF_TREND_VETO_BYPASS_ENABLED</t>
        </is>
      </c>
      <c r="H271" s="0" t="inlineStr">
        <is>
          <t>GENERAL</t>
        </is>
      </c>
      <c r="I271" s="0" t="inlineStr">
        <is>
          <t>LIVE — wired</t>
        </is>
      </c>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0" t="n">
        <v>71</v>
      </c>
      <c r="B272" s="0" t="inlineStr">
        <is>
          <t>HTF_TREND_VETO_BYPASS_ENABLED</t>
        </is>
      </c>
      <c r="C272" s="0" t="inlineStr">
        <is>
          <t>True</t>
        </is>
      </c>
      <c r="D272" s="0" t="inlineStr">
        <is>
          <t>Threshold/gate: HTF_TREND_VETO_BYPASS_ENABLED — TF', 'FG_FEAR_THRESHOLD', 'FG_GREED_THRESHOLD', 'FH_MOMENTUM_FILTER_TF', 'FUNDING_GATE_FILTER_TF', 'FUNDING_GATE_MIN_TFS | ex: `TF', 'FG_FEAR_THRESHOLD', 'FG_GREED_THRESHOLD', 'FH_MOMENTUM_FILTER_TF', 'FUNDIN`</t>
        </is>
      </c>
      <c r="E272" s="0" t="inlineStr">
        <is>
          <t>GLOBAL_CHECK, STOCKS_EXIT</t>
        </is>
      </c>
      <c r="F272" s="0" t="inlineStr">
        <is>
          <t>GLOBAL_CHECK, STOCKS_EXIT</t>
        </is>
      </c>
      <c r="G272" s="0" t="inlineStr">
        <is>
          <t>HTF_TREND_VETO_BYPASS_ENABLED</t>
        </is>
      </c>
      <c r="H272" s="0" t="inlineStr">
        <is>
          <t>GENERAL</t>
        </is>
      </c>
      <c r="I272" s="0" t="inlineStr">
        <is>
          <t>LIVE — wired</t>
        </is>
      </c>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0" t="n">
        <v>72</v>
      </c>
      <c r="B273" s="0" t="inlineStr">
        <is>
          <t>HTF_TREND_VETO_BYPASS_REASONS</t>
        </is>
      </c>
      <c r="C273" s="0" t="inlineStr">
        <is>
          <t>0.0</t>
        </is>
      </c>
      <c r="D273" s="0" t="inlineStr">
        <is>
          <t>Threshold/gate: HTF_TREND_VETO_BYPASS_REASONS — ED_THRESHOLD', 'FH_MOMENTUM_FILTER_TF', 'FUNDING_GATE_FILTER_TF', 'FUNDING_GATE_MIN_TFS', 'GOLDEN_RULE_ENFORCE_FILTER_TF | ex: `ED_THRESHOLD', 'FH_MOMENTUM_FILTER_TF', 'FUNDING_GATE_FILTER_TF', 'FUNDING_GATE_`</t>
        </is>
      </c>
      <c r="E273" s="0" t="inlineStr">
        <is>
          <t>GLOBAL_CHECK, STOCKS_EXIT</t>
        </is>
      </c>
      <c r="F273" s="0" t="inlineStr">
        <is>
          <t>GLOBAL_CHECK, STOCKS_EXIT</t>
        </is>
      </c>
      <c r="G273" s="0" t="inlineStr">
        <is>
          <t>HTF_TREND_VETO_BYPASS_REASONS</t>
        </is>
      </c>
      <c r="H273" s="0" t="inlineStr">
        <is>
          <t>GENERAL</t>
        </is>
      </c>
      <c r="I273" s="0" t="inlineStr">
        <is>
          <t>LIVE — wired</t>
        </is>
      </c>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0" t="n">
        <v>72</v>
      </c>
      <c r="B274" s="0" t="inlineStr">
        <is>
          <t>HTF_TREND_VETO_BYPASS_REASONS</t>
        </is>
      </c>
      <c r="C274" s="0" t="inlineStr">
        <is>
          <t>0.0_ALT</t>
        </is>
      </c>
      <c r="D274" s="0" t="inlineStr">
        <is>
          <t>Threshold/gate: HTF_TREND_VETO_BYPASS_REASONS — ED_THRESHOLD', 'FH_MOMENTUM_FILTER_TF', 'FUNDING_GATE_FILTER_TF', 'FUNDING_GATE_MIN_TFS', 'GOLDEN_RULE_ENFORCE_FILTER_TF | ex: `ED_THRESHOLD', 'FH_MOMENTUM_FILTER_TF', 'FUNDING_GATE_FILTER_TF', 'FUNDING_GATE_`</t>
        </is>
      </c>
      <c r="E274" s="0" t="inlineStr">
        <is>
          <t>GLOBAL_CHECK, STOCKS_EXIT</t>
        </is>
      </c>
      <c r="F274" s="0" t="inlineStr">
        <is>
          <t>GLOBAL_CHECK, STOCKS_EXIT</t>
        </is>
      </c>
      <c r="G274" s="0" t="inlineStr">
        <is>
          <t>HTF_TREND_VETO_BYPASS_REASONS</t>
        </is>
      </c>
      <c r="H274" s="0" t="inlineStr">
        <is>
          <t>GENERAL</t>
        </is>
      </c>
      <c r="I274" s="0" t="inlineStr">
        <is>
          <t>LIVE — wired</t>
        </is>
      </c>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0" t="n">
        <v>73</v>
      </c>
      <c r="B275" s="0" t="inlineStr">
        <is>
          <t>KILLER_KNOB_FINDER_FILTER_TF</t>
        </is>
      </c>
      <c r="C275" s="0" t="inlineStr">
        <is>
          <t>OFF</t>
        </is>
      </c>
      <c r="D275" s="0" t="inlineStr">
        <is>
          <t>Dead/misnamed filter — no read in ez_manage/ez_positions_quick/tradier_manage. Appears 0x; likely legacy or typo.</t>
        </is>
      </c>
      <c r="E275" s="0" t="inlineStr">
        <is>
          <t>DEAD</t>
        </is>
      </c>
      <c r="F275" s="0" t="inlineStr">
        <is>
          <t>DEAD</t>
        </is>
      </c>
      <c r="G275" s="0" t="inlineStr">
        <is>
          <t>KILLER_KNOB_FINDER</t>
        </is>
      </c>
      <c r="H275" s="0" t="inlineStr">
        <is>
          <t>SPECIFIC — only gated switches</t>
        </is>
      </c>
      <c r="I275" s="0" t="inlineStr">
        <is>
          <t>DEAD — REMOVE</t>
        </is>
      </c>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0" t="n">
        <v>73</v>
      </c>
      <c r="B276" s="0" t="inlineStr">
        <is>
          <t>KILLER_KNOB_FINDER_FILTER_TF</t>
        </is>
      </c>
      <c r="C276" s="0" t="inlineStr">
        <is>
          <t>D</t>
        </is>
      </c>
      <c r="D276" s="0" t="inlineStr">
        <is>
          <t>Dead/misnamed filter — no read in ez_manage/ez_positions_quick/tradier_manage. Appears 0x; likely legacy or typo.</t>
        </is>
      </c>
      <c r="E276" s="0" t="inlineStr">
        <is>
          <t>DEAD</t>
        </is>
      </c>
      <c r="F276" s="0" t="inlineStr">
        <is>
          <t>DEAD</t>
        </is>
      </c>
      <c r="G276" s="0" t="inlineStr">
        <is>
          <t>KILLER_KNOB_FINDER</t>
        </is>
      </c>
      <c r="H276" s="0" t="inlineStr">
        <is>
          <t>SPECIFIC — only gated switches</t>
        </is>
      </c>
      <c r="I276" s="0" t="inlineStr">
        <is>
          <t>DEAD — REMOVE</t>
        </is>
      </c>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0" t="n">
        <v>73</v>
      </c>
      <c r="B277" s="0" t="inlineStr">
        <is>
          <t>KILLER_KNOB_FINDER_FILTER_TF</t>
        </is>
      </c>
      <c r="C277" s="0" t="inlineStr">
        <is>
          <t>4h</t>
        </is>
      </c>
      <c r="D277" s="0" t="inlineStr">
        <is>
          <t>Dead/misnamed filter — no read in ez_manage/ez_positions_quick/tradier_manage. Appears 0x; likely legacy or typo.</t>
        </is>
      </c>
      <c r="E277" s="0" t="inlineStr">
        <is>
          <t>DEAD</t>
        </is>
      </c>
      <c r="F277" s="0" t="inlineStr">
        <is>
          <t>DEAD</t>
        </is>
      </c>
      <c r="G277" s="0" t="inlineStr">
        <is>
          <t>KILLER_KNOB_FINDER</t>
        </is>
      </c>
      <c r="H277" s="0" t="inlineStr">
        <is>
          <t>SPECIFIC — only gated switches</t>
        </is>
      </c>
      <c r="I277" s="0" t="inlineStr">
        <is>
          <t>DEAD — REMOVE</t>
        </is>
      </c>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0" t="n">
        <v>73</v>
      </c>
      <c r="B278" s="0" t="inlineStr">
        <is>
          <t>KILLER_KNOB_FINDER_FILTER_TF</t>
        </is>
      </c>
      <c r="C278" s="0" t="inlineStr">
        <is>
          <t>1h</t>
        </is>
      </c>
      <c r="D278" s="0" t="inlineStr">
        <is>
          <t>Dead/misnamed filter — no read in ez_manage/ez_positions_quick/tradier_manage. Appears 0x; likely legacy or typo.</t>
        </is>
      </c>
      <c r="E278" s="0" t="inlineStr">
        <is>
          <t>DEAD</t>
        </is>
      </c>
      <c r="F278" s="0" t="inlineStr">
        <is>
          <t>DEAD</t>
        </is>
      </c>
      <c r="G278" s="0" t="inlineStr">
        <is>
          <t>KILLER_KNOB_FINDER</t>
        </is>
      </c>
      <c r="H278" s="0" t="inlineStr">
        <is>
          <t>SPECIFIC — only gated switches</t>
        </is>
      </c>
      <c r="I278" s="0" t="inlineStr">
        <is>
          <t>DEAD — REMOVE</t>
        </is>
      </c>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0" t="n">
        <v>73</v>
      </c>
      <c r="B279" s="0" t="inlineStr">
        <is>
          <t>KILLER_KNOB_FINDER_FILTER_TF</t>
        </is>
      </c>
      <c r="C279" s="0" t="inlineStr">
        <is>
          <t>15m</t>
        </is>
      </c>
      <c r="D279" s="0" t="inlineStr">
        <is>
          <t>Dead/misnamed filter — no read in ez_manage/ez_positions_quick/tradier_manage. Appears 0x; likely legacy or typo.</t>
        </is>
      </c>
      <c r="E279" s="0" t="inlineStr">
        <is>
          <t>DEAD</t>
        </is>
      </c>
      <c r="F279" s="0" t="inlineStr">
        <is>
          <t>DEAD</t>
        </is>
      </c>
      <c r="G279" s="0" t="inlineStr">
        <is>
          <t>KILLER_KNOB_FINDER</t>
        </is>
      </c>
      <c r="H279" s="0" t="inlineStr">
        <is>
          <t>SPECIFIC — only gated switches</t>
        </is>
      </c>
      <c r="I279" s="0" t="inlineStr">
        <is>
          <t>DEAD — REMOVE</t>
        </is>
      </c>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0" t="n">
        <v>74</v>
      </c>
      <c r="B280" s="0" t="inlineStr">
        <is>
          <t>LEADERBOARD_FILTER</t>
        </is>
      </c>
      <c r="C280" s="0" t="inlineStr">
        <is>
          <t>False</t>
        </is>
      </c>
      <c r="D280" s="0" t="inlineStr">
        <is>
          <t>Leaderboard regime filter (top-N symbols). | Live read: `ILTER_TF', 'FUNDING_GATE_MIN_TFS', 'GOLDEN_RULE_ENFORCE_FILTER_TF', 'GOLDEN_RULE`</t>
        </is>
      </c>
      <c r="E280" s="0" t="inlineStr">
        <is>
          <t>AUGMENT, ENTRY, EXIT, GLOBAL_CHECK, REDUCE, STOCKS_EXIT</t>
        </is>
      </c>
      <c r="F280" s="0" t="inlineStr">
        <is>
          <t>AUGMENT, ENTRY, EXIT, GLOBAL_CHECK, REDUCE, STOCKS_EXIT</t>
        </is>
      </c>
      <c r="G280" s="0" t="inlineStr">
        <is>
          <t>Leaderboard</t>
        </is>
      </c>
      <c r="H280" s="0" t="inlineStr">
        <is>
          <t>GENERAL — uniform</t>
        </is>
      </c>
      <c r="I280" s="0" t="inlineStr">
        <is>
          <t>LIVE — wired</t>
        </is>
      </c>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0" t="n">
        <v>74</v>
      </c>
      <c r="B281" s="0" t="inlineStr">
        <is>
          <t>LEADERBOARD_FILTER</t>
        </is>
      </c>
      <c r="C281" s="0" t="inlineStr">
        <is>
          <t>False_ALT</t>
        </is>
      </c>
      <c r="D281" s="0" t="inlineStr">
        <is>
          <t>Leaderboard regime filter (top-N symbols). | Live read: `ILTER_TF', 'FUNDING_GATE_MIN_TFS', 'GOLDEN_RULE_ENFORCE_FILTER_TF', 'GOLDEN_RULE`</t>
        </is>
      </c>
      <c r="E281" s="0" t="inlineStr">
        <is>
          <t>AUGMENT, ENTRY, EXIT, GLOBAL_CHECK, REDUCE, STOCKS_EXIT</t>
        </is>
      </c>
      <c r="F281" s="0" t="inlineStr">
        <is>
          <t>AUGMENT, ENTRY, EXIT, GLOBAL_CHECK, REDUCE, STOCKS_EXIT</t>
        </is>
      </c>
      <c r="G281" s="0" t="inlineStr">
        <is>
          <t>Leaderboard</t>
        </is>
      </c>
      <c r="H281" s="0" t="inlineStr">
        <is>
          <t>GENERAL — uniform</t>
        </is>
      </c>
      <c r="I281" s="0" t="inlineStr">
        <is>
          <t>LIVE — wired</t>
        </is>
      </c>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0" t="n">
        <v>75</v>
      </c>
      <c r="B282" s="0" t="inlineStr">
        <is>
          <t>LH_HL_FILTER_ENABLED</t>
        </is>
      </c>
      <c r="C282" s="0" t="inlineStr">
        <is>
          <t>False</t>
        </is>
      </c>
      <c r="D282" s="0" t="inlineStr">
        <is>
          <t>Lower-high / Higher-low structure filter (SMA200D replacement). | Live read: `N_RULE_ENTRY_TF_LIST', 'GOLDEN_RULE_MULT_15M', 'GOLDEN_RULE_MULT_1H', 'GOLDEN_RU`</t>
        </is>
      </c>
      <c r="E282" s="0" t="inlineStr">
        <is>
          <t>ENTRY, GLOBAL_CHECK, STOCKS_EXIT</t>
        </is>
      </c>
      <c r="F282" s="0" t="inlineStr">
        <is>
          <t>ENTRY, GLOBAL_CHECK, STOCKS_EXIT</t>
        </is>
      </c>
      <c r="G282" s="0" t="inlineStr">
        <is>
          <t>LH/HL filter</t>
        </is>
      </c>
      <c r="H282" s="0" t="inlineStr">
        <is>
          <t>GENERAL</t>
        </is>
      </c>
      <c r="I282" s="0" t="inlineStr">
        <is>
          <t>LIVE — wired</t>
        </is>
      </c>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0" t="n">
        <v>75</v>
      </c>
      <c r="B283" s="0" t="inlineStr">
        <is>
          <t>LH_HL_FILTER_ENABLED</t>
        </is>
      </c>
      <c r="C283" s="0" t="inlineStr">
        <is>
          <t>True</t>
        </is>
      </c>
      <c r="D283" s="0" t="inlineStr">
        <is>
          <t>Lower-high / Higher-low structure filter (SMA200D replacement). | Live read: `N_RULE_ENTRY_TF_LIST', 'GOLDEN_RULE_MULT_15M', 'GOLDEN_RULE_MULT_1H', 'GOLDEN_RU`</t>
        </is>
      </c>
      <c r="E283" s="0" t="inlineStr">
        <is>
          <t>ENTRY, GLOBAL_CHECK, STOCKS_EXIT</t>
        </is>
      </c>
      <c r="F283" s="0" t="inlineStr">
        <is>
          <t>ENTRY, GLOBAL_CHECK, STOCKS_EXIT</t>
        </is>
      </c>
      <c r="G283" s="0" t="inlineStr">
        <is>
          <t>LH/HL filter</t>
        </is>
      </c>
      <c r="H283" s="0" t="inlineStr">
        <is>
          <t>GENERAL</t>
        </is>
      </c>
      <c r="I283" s="0" t="inlineStr">
        <is>
          <t>LIVE — wired</t>
        </is>
      </c>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0" t="n">
        <v>76</v>
      </c>
      <c r="B284" s="0" t="inlineStr">
        <is>
          <t>LH_HL_FILTER_MODE</t>
        </is>
      </c>
      <c r="C284" s="0" t="inlineStr">
        <is>
          <t>STRICT_2BAR</t>
        </is>
      </c>
      <c r="D284" s="0" t="inlineStr">
        <is>
          <t>Threshold/gate: LH_HL_FILTER_MODE — _MULT_1H', 'GOLDEN_RULE_MULT_4H', 'GOLDEN_RULE_MULT_D', 'GOLDEN_RULE_MULT_W', 'GR_FILTER_ALL_ENTRIES', 'GR_OPEN_COOLDOWN | ex: `_MULT_1H', 'GOLDEN_RULE_MULT_4H', 'GOLDEN_RULE_MULT_D', 'GOLDEN_RULE_MULT_W', 'G`</t>
        </is>
      </c>
      <c r="E284" s="0" t="inlineStr">
        <is>
          <t>ENTRY, GLOBAL_CHECK, STOCKS_EXIT</t>
        </is>
      </c>
      <c r="F284" s="0" t="inlineStr">
        <is>
          <t>ENTRY, GLOBAL_CHECK, STOCKS_EXIT</t>
        </is>
      </c>
      <c r="G284" s="0" t="inlineStr">
        <is>
          <t>LH/HL filter</t>
        </is>
      </c>
      <c r="H284" s="0" t="inlineStr">
        <is>
          <t>GENERAL</t>
        </is>
      </c>
      <c r="I284" s="0" t="inlineStr">
        <is>
          <t>LIVE — wired</t>
        </is>
      </c>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0" t="n">
        <v>76</v>
      </c>
      <c r="B285" s="0" t="inlineStr">
        <is>
          <t>LH_HL_FILTER_MODE</t>
        </is>
      </c>
      <c r="C285" s="0" t="inlineStr">
        <is>
          <t>STRICT_2BAR_ALT</t>
        </is>
      </c>
      <c r="D285" s="0" t="inlineStr">
        <is>
          <t>Threshold/gate: LH_HL_FILTER_MODE — _MULT_1H', 'GOLDEN_RULE_MULT_4H', 'GOLDEN_RULE_MULT_D', 'GOLDEN_RULE_MULT_W', 'GR_FILTER_ALL_ENTRIES', 'GR_OPEN_COOLDOWN | ex: `_MULT_1H', 'GOLDEN_RULE_MULT_4H', 'GOLDEN_RULE_MULT_D', 'GOLDEN_RULE_MULT_W', 'G`</t>
        </is>
      </c>
      <c r="E285" s="0" t="inlineStr">
        <is>
          <t>ENTRY, GLOBAL_CHECK, STOCKS_EXIT</t>
        </is>
      </c>
      <c r="F285" s="0" t="inlineStr">
        <is>
          <t>ENTRY, GLOBAL_CHECK, STOCKS_EXIT</t>
        </is>
      </c>
      <c r="G285" s="0" t="inlineStr">
        <is>
          <t>LH/HL filter</t>
        </is>
      </c>
      <c r="H285" s="0" t="inlineStr">
        <is>
          <t>GENERAL</t>
        </is>
      </c>
      <c r="I285" s="0" t="inlineStr">
        <is>
          <t>LIVE — wired</t>
        </is>
      </c>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0" t="n">
        <v>77</v>
      </c>
      <c r="B286" s="0" t="inlineStr">
        <is>
          <t>LH_HL_FILTER_REQUIRE_BOTH</t>
        </is>
      </c>
      <c r="C286" s="0" t="inlineStr">
        <is>
          <t>False</t>
        </is>
      </c>
      <c r="D286" s="0" t="inlineStr">
        <is>
          <t>Threshold/gate: LH_HL_FILTER_REQUIRE_BOTH — LE_MULT_4H', 'GOLDEN_RULE_MULT_D', 'GOLDEN_RULE_MULT_W', 'GR_FILTER_ALL_ENTRIES', 'GR_OPEN_COOLDOWN_S', 'GR_TOTAL_VOTE_S | ex: `LE_MULT_4H', 'GOLDEN_RULE_MULT_D', 'GOLDEN_RULE_MULT_W', 'GR_FILTER_ALL_ENTRIES'`</t>
        </is>
      </c>
      <c r="E286" s="0" t="inlineStr">
        <is>
          <t>ENTRY, GLOBAL_CHECK, STOCKS_EXIT</t>
        </is>
      </c>
      <c r="F286" s="0" t="inlineStr">
        <is>
          <t>ENTRY, GLOBAL_CHECK, STOCKS_EXIT</t>
        </is>
      </c>
      <c r="G286" s="0" t="inlineStr">
        <is>
          <t>LH/HL filter</t>
        </is>
      </c>
      <c r="H286" s="0" t="inlineStr">
        <is>
          <t>GENERAL</t>
        </is>
      </c>
      <c r="I286" s="0" t="inlineStr">
        <is>
          <t>LIVE — wired</t>
        </is>
      </c>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0" t="n">
        <v>77</v>
      </c>
      <c r="B287" s="0" t="inlineStr">
        <is>
          <t>LH_HL_FILTER_REQUIRE_BOTH</t>
        </is>
      </c>
      <c r="C287" s="0" t="inlineStr">
        <is>
          <t>False_ALT</t>
        </is>
      </c>
      <c r="D287" s="0" t="inlineStr">
        <is>
          <t>Threshold/gate: LH_HL_FILTER_REQUIRE_BOTH — LE_MULT_4H', 'GOLDEN_RULE_MULT_D', 'GOLDEN_RULE_MULT_W', 'GR_FILTER_ALL_ENTRIES', 'GR_OPEN_COOLDOWN_S', 'GR_TOTAL_VOTE_S | ex: `LE_MULT_4H', 'GOLDEN_RULE_MULT_D', 'GOLDEN_RULE_MULT_W', 'GR_FILTER_ALL_ENTRIES'`</t>
        </is>
      </c>
      <c r="E287" s="0" t="inlineStr">
        <is>
          <t>ENTRY, GLOBAL_CHECK, STOCKS_EXIT</t>
        </is>
      </c>
      <c r="F287" s="0" t="inlineStr">
        <is>
          <t>ENTRY, GLOBAL_CHECK, STOCKS_EXIT</t>
        </is>
      </c>
      <c r="G287" s="0" t="inlineStr">
        <is>
          <t>LH/HL filter</t>
        </is>
      </c>
      <c r="H287" s="0" t="inlineStr">
        <is>
          <t>GENERAL</t>
        </is>
      </c>
      <c r="I287" s="0" t="inlineStr">
        <is>
          <t>LIVE — wired</t>
        </is>
      </c>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0" t="n">
        <v>78</v>
      </c>
      <c r="B288" s="0" t="inlineStr">
        <is>
          <t>LH_HL_FILTER_TF_REQ</t>
        </is>
      </c>
      <c r="C288" s="0" t="inlineStr">
        <is>
          <t>2</t>
        </is>
      </c>
      <c r="D288"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0" t="inlineStr">
        <is>
          <t>ENTRY, GLOBAL_CHECK, STOCKS_EXIT</t>
        </is>
      </c>
      <c r="F288" s="0" t="inlineStr">
        <is>
          <t>ENTRY, GLOBAL_CHECK, STOCKS_EXIT</t>
        </is>
      </c>
      <c r="G288" s="0" t="inlineStr">
        <is>
          <t>LH/HL filter</t>
        </is>
      </c>
      <c r="H288" s="0" t="inlineStr">
        <is>
          <t>SPECIFIC — only gated switches</t>
        </is>
      </c>
      <c r="I288" s="0" t="inlineStr">
        <is>
          <t>LIVE — wired</t>
        </is>
      </c>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0" t="n">
        <v>78</v>
      </c>
      <c r="B289" s="0" t="inlineStr">
        <is>
          <t>LH_HL_FILTER_TF_REQ</t>
        </is>
      </c>
      <c r="C289" s="0" t="inlineStr">
        <is>
          <t>2_ALT</t>
        </is>
      </c>
      <c r="D289"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0" t="inlineStr">
        <is>
          <t>ENTRY, GLOBAL_CHECK, STOCKS_EXIT</t>
        </is>
      </c>
      <c r="F289" s="0" t="inlineStr">
        <is>
          <t>ENTRY, GLOBAL_CHECK, STOCKS_EXIT</t>
        </is>
      </c>
      <c r="G289" s="0" t="inlineStr">
        <is>
          <t>LH/HL filter</t>
        </is>
      </c>
      <c r="H289" s="0" t="inlineStr">
        <is>
          <t>SPECIFIC — only gated switches</t>
        </is>
      </c>
      <c r="I289" s="0" t="inlineStr">
        <is>
          <t>LIVE — wired</t>
        </is>
      </c>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0" t="n">
        <v>79</v>
      </c>
      <c r="B290" s="0" t="inlineStr">
        <is>
          <t>LIVE_ENTRY_ENGINE_FILTER_TF</t>
        </is>
      </c>
      <c r="C290" s="0" t="inlineStr">
        <is>
          <t>OFF</t>
        </is>
      </c>
      <c r="D290" s="0" t="inlineStr">
        <is>
          <t>Live entry engine confirmation TF. | Live read: `_W', 'GR_FILTER_ALL_ENTRIES', 'GR_OPEN_COOLDOWN_S', 'GR_TOTAL_VOTE_SCORE_MIN', '`</t>
        </is>
      </c>
      <c r="E290" s="0" t="inlineStr">
        <is>
          <t>GLOBAL_CHECK</t>
        </is>
      </c>
      <c r="F290" s="0" t="inlineStr">
        <is>
          <t>GLOBAL_CHECK</t>
        </is>
      </c>
      <c r="G290" s="0" t="inlineStr">
        <is>
          <t>LIVE_ENTRY_ENGINE</t>
        </is>
      </c>
      <c r="H290" s="0" t="inlineStr">
        <is>
          <t>SPECIFIC — only gated switches</t>
        </is>
      </c>
      <c r="I290" s="0" t="inlineStr">
        <is>
          <t>LIVE — wired</t>
        </is>
      </c>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0" t="n">
        <v>79</v>
      </c>
      <c r="B291" s="0" t="inlineStr">
        <is>
          <t>LIVE_ENTRY_ENGINE_FILTER_TF</t>
        </is>
      </c>
      <c r="C291" s="0" t="inlineStr">
        <is>
          <t>D</t>
        </is>
      </c>
      <c r="D291" s="0" t="inlineStr">
        <is>
          <t>Live entry engine confirmation TF. | Live read: `_W', 'GR_FILTER_ALL_ENTRIES', 'GR_OPEN_COOLDOWN_S', 'GR_TOTAL_VOTE_SCORE_MIN', '`</t>
        </is>
      </c>
      <c r="E291" s="0" t="inlineStr">
        <is>
          <t>GLOBAL_CHECK</t>
        </is>
      </c>
      <c r="F291" s="0" t="inlineStr">
        <is>
          <t>GLOBAL_CHECK</t>
        </is>
      </c>
      <c r="G291" s="0" t="inlineStr">
        <is>
          <t>LIVE_ENTRY_ENGINE</t>
        </is>
      </c>
      <c r="H291" s="0" t="inlineStr">
        <is>
          <t>SPECIFIC — only gated switches</t>
        </is>
      </c>
      <c r="I291" s="0" t="inlineStr">
        <is>
          <t>LIVE — wired</t>
        </is>
      </c>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0" t="n">
        <v>79</v>
      </c>
      <c r="B292" s="0" t="inlineStr">
        <is>
          <t>LIVE_ENTRY_ENGINE_FILTER_TF</t>
        </is>
      </c>
      <c r="C292" s="0" t="inlineStr">
        <is>
          <t>4h</t>
        </is>
      </c>
      <c r="D292" s="0" t="inlineStr">
        <is>
          <t>Live entry engine confirmation TF. | Live read: `_W', 'GR_FILTER_ALL_ENTRIES', 'GR_OPEN_COOLDOWN_S', 'GR_TOTAL_VOTE_SCORE_MIN', '`</t>
        </is>
      </c>
      <c r="E292" s="0" t="inlineStr">
        <is>
          <t>GLOBAL_CHECK</t>
        </is>
      </c>
      <c r="F292" s="0" t="inlineStr">
        <is>
          <t>GLOBAL_CHECK</t>
        </is>
      </c>
      <c r="G292" s="0" t="inlineStr">
        <is>
          <t>LIVE_ENTRY_ENGINE</t>
        </is>
      </c>
      <c r="H292" s="0" t="inlineStr">
        <is>
          <t>SPECIFIC — only gated switches</t>
        </is>
      </c>
      <c r="I292" s="0" t="inlineStr">
        <is>
          <t>LIVE — wired</t>
        </is>
      </c>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0" t="n">
        <v>79</v>
      </c>
      <c r="B293" s="0" t="inlineStr">
        <is>
          <t>LIVE_ENTRY_ENGINE_FILTER_TF</t>
        </is>
      </c>
      <c r="C293" s="0" t="inlineStr">
        <is>
          <t>1h</t>
        </is>
      </c>
      <c r="D293" s="0" t="inlineStr">
        <is>
          <t>Live entry engine confirmation TF. | Live read: `_W', 'GR_FILTER_ALL_ENTRIES', 'GR_OPEN_COOLDOWN_S', 'GR_TOTAL_VOTE_SCORE_MIN', '`</t>
        </is>
      </c>
      <c r="E293" s="0" t="inlineStr">
        <is>
          <t>GLOBAL_CHECK</t>
        </is>
      </c>
      <c r="F293" s="0" t="inlineStr">
        <is>
          <t>GLOBAL_CHECK</t>
        </is>
      </c>
      <c r="G293" s="0" t="inlineStr">
        <is>
          <t>LIVE_ENTRY_ENGINE</t>
        </is>
      </c>
      <c r="H293" s="0" t="inlineStr">
        <is>
          <t>SPECIFIC — only gated switches</t>
        </is>
      </c>
      <c r="I293" s="0" t="inlineStr">
        <is>
          <t>LIVE — wired</t>
        </is>
      </c>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0" t="n">
        <v>79</v>
      </c>
      <c r="B294" s="0" t="inlineStr">
        <is>
          <t>LIVE_ENTRY_ENGINE_FILTER_TF</t>
        </is>
      </c>
      <c r="C294" s="0" t="inlineStr">
        <is>
          <t>15m</t>
        </is>
      </c>
      <c r="D294" s="0" t="inlineStr">
        <is>
          <t>Live entry engine confirmation TF. | Live read: `_W', 'GR_FILTER_ALL_ENTRIES', 'GR_OPEN_COOLDOWN_S', 'GR_TOTAL_VOTE_SCORE_MIN', '`</t>
        </is>
      </c>
      <c r="E294" s="0" t="inlineStr">
        <is>
          <t>GLOBAL_CHECK</t>
        </is>
      </c>
      <c r="F294" s="0" t="inlineStr">
        <is>
          <t>GLOBAL_CHECK</t>
        </is>
      </c>
      <c r="G294" s="0" t="inlineStr">
        <is>
          <t>LIVE_ENTRY_ENGINE</t>
        </is>
      </c>
      <c r="H294" s="0" t="inlineStr">
        <is>
          <t>SPECIFIC — only gated switches</t>
        </is>
      </c>
      <c r="I294" s="0" t="inlineStr">
        <is>
          <t>LIVE — wired</t>
        </is>
      </c>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0" t="n">
        <v>80</v>
      </c>
      <c r="B295" s="0" t="inlineStr">
        <is>
          <t>LIVE_ONLY_SIGNALS_BATCH5_FILTER_TF</t>
        </is>
      </c>
      <c r="C295" s="0" t="inlineStr">
        <is>
          <t>OFF</t>
        </is>
      </c>
      <c r="D295" s="0" t="inlineStr">
        <is>
          <t>Batch-5 live-only signals filter TF. | Live read: `TE_MIN_TFS', 'GOLDEN_RULE_ENFORCE_FILTER_TF', 'GOLDEN_RULE_HTF_VOTE_FILTER_TF', `</t>
        </is>
      </c>
      <c r="E295" s="0" t="inlineStr">
        <is>
          <t>GLOBAL_CHECK</t>
        </is>
      </c>
      <c r="F295" s="0" t="inlineStr">
        <is>
          <t>GLOBAL_CHECK</t>
        </is>
      </c>
      <c r="G295" s="0" t="inlineStr">
        <is>
          <t>LIVE_ONLY_SIGNALS_BATCH5</t>
        </is>
      </c>
      <c r="H295" s="0" t="inlineStr">
        <is>
          <t>SPECIFIC — only gated switches</t>
        </is>
      </c>
      <c r="I295" s="0" t="inlineStr">
        <is>
          <t>LIVE — wired</t>
        </is>
      </c>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0" t="n">
        <v>80</v>
      </c>
      <c r="B296" s="0" t="inlineStr">
        <is>
          <t>LIVE_ONLY_SIGNALS_BATCH5_FILTER_TF</t>
        </is>
      </c>
      <c r="C296" s="0" t="inlineStr">
        <is>
          <t>D</t>
        </is>
      </c>
      <c r="D296" s="0" t="inlineStr">
        <is>
          <t>Batch-5 live-only signals filter TF. | Live read: `TE_MIN_TFS', 'GOLDEN_RULE_ENFORCE_FILTER_TF', 'GOLDEN_RULE_HTF_VOTE_FILTER_TF', `</t>
        </is>
      </c>
      <c r="E296" s="0" t="inlineStr">
        <is>
          <t>GLOBAL_CHECK</t>
        </is>
      </c>
      <c r="F296" s="0" t="inlineStr">
        <is>
          <t>GLOBAL_CHECK</t>
        </is>
      </c>
      <c r="G296" s="0" t="inlineStr">
        <is>
          <t>LIVE_ONLY_SIGNALS_BATCH5</t>
        </is>
      </c>
      <c r="H296" s="0" t="inlineStr">
        <is>
          <t>SPECIFIC — only gated switches</t>
        </is>
      </c>
      <c r="I296" s="0" t="inlineStr">
        <is>
          <t>LIVE — wired</t>
        </is>
      </c>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0" t="n">
        <v>80</v>
      </c>
      <c r="B297" s="0" t="inlineStr">
        <is>
          <t>LIVE_ONLY_SIGNALS_BATCH5_FILTER_TF</t>
        </is>
      </c>
      <c r="C297" s="0" t="inlineStr">
        <is>
          <t>4h</t>
        </is>
      </c>
      <c r="D297" s="0" t="inlineStr">
        <is>
          <t>Batch-5 live-only signals filter TF. | Live read: `TE_MIN_TFS', 'GOLDEN_RULE_ENFORCE_FILTER_TF', 'GOLDEN_RULE_HTF_VOTE_FILTER_TF', `</t>
        </is>
      </c>
      <c r="E297" s="0" t="inlineStr">
        <is>
          <t>GLOBAL_CHECK</t>
        </is>
      </c>
      <c r="F297" s="0" t="inlineStr">
        <is>
          <t>GLOBAL_CHECK</t>
        </is>
      </c>
      <c r="G297" s="0" t="inlineStr">
        <is>
          <t>LIVE_ONLY_SIGNALS_BATCH5</t>
        </is>
      </c>
      <c r="H297" s="0" t="inlineStr">
        <is>
          <t>SPECIFIC — only gated switches</t>
        </is>
      </c>
      <c r="I297" s="0" t="inlineStr">
        <is>
          <t>LIVE — wired</t>
        </is>
      </c>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0" t="n">
        <v>80</v>
      </c>
      <c r="B298" s="0" t="inlineStr">
        <is>
          <t>LIVE_ONLY_SIGNALS_BATCH5_FILTER_TF</t>
        </is>
      </c>
      <c r="C298" s="0" t="inlineStr">
        <is>
          <t>1h</t>
        </is>
      </c>
      <c r="D298" s="0" t="inlineStr">
        <is>
          <t>Batch-5 live-only signals filter TF. | Live read: `TE_MIN_TFS', 'GOLDEN_RULE_ENFORCE_FILTER_TF', 'GOLDEN_RULE_HTF_VOTE_FILTER_TF', `</t>
        </is>
      </c>
      <c r="E298" s="0" t="inlineStr">
        <is>
          <t>GLOBAL_CHECK</t>
        </is>
      </c>
      <c r="F298" s="0" t="inlineStr">
        <is>
          <t>GLOBAL_CHECK</t>
        </is>
      </c>
      <c r="G298" s="0" t="inlineStr">
        <is>
          <t>LIVE_ONLY_SIGNALS_BATCH5</t>
        </is>
      </c>
      <c r="H298" s="0" t="inlineStr">
        <is>
          <t>SPECIFIC — only gated switches</t>
        </is>
      </c>
      <c r="I298" s="0" t="inlineStr">
        <is>
          <t>LIVE — wired</t>
        </is>
      </c>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0" t="n">
        <v>80</v>
      </c>
      <c r="B299" s="0" t="inlineStr">
        <is>
          <t>LIVE_ONLY_SIGNALS_BATCH5_FILTER_TF</t>
        </is>
      </c>
      <c r="C299" s="0" t="inlineStr">
        <is>
          <t>15m</t>
        </is>
      </c>
      <c r="D299" s="0" t="inlineStr">
        <is>
          <t>Batch-5 live-only signals filter TF. | Live read: `TE_MIN_TFS', 'GOLDEN_RULE_ENFORCE_FILTER_TF', 'GOLDEN_RULE_HTF_VOTE_FILTER_TF', `</t>
        </is>
      </c>
      <c r="E299" s="0" t="inlineStr">
        <is>
          <t>GLOBAL_CHECK</t>
        </is>
      </c>
      <c r="F299" s="0" t="inlineStr">
        <is>
          <t>GLOBAL_CHECK</t>
        </is>
      </c>
      <c r="G299" s="0" t="inlineStr">
        <is>
          <t>LIVE_ONLY_SIGNALS_BATCH5</t>
        </is>
      </c>
      <c r="H299" s="0" t="inlineStr">
        <is>
          <t>SPECIFIC — only gated switches</t>
        </is>
      </c>
      <c r="I299" s="0" t="inlineStr">
        <is>
          <t>LIVE — wired</t>
        </is>
      </c>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0" t="n">
        <v>81</v>
      </c>
      <c r="B300" s="0" t="inlineStr">
        <is>
          <t>LIVE_VEC_EMERGENCY_BRAKE_ENABLED</t>
        </is>
      </c>
      <c r="C300" s="0" t="inlineStr">
        <is>
          <t>False</t>
        </is>
      </c>
      <c r="D300" s="0" t="inlineStr">
        <is>
          <t>Emergency brake enabled in live vector path. | Live read: `ER_TF', 'GOLDEN_RULE_HTF_VOTE_FILTER_TF', 'GR_FILTER_VEC_ENABLED', 'GR_FILTER_VE`</t>
        </is>
      </c>
      <c r="E300" s="0" t="inlineStr">
        <is>
          <t>GLOBAL_CHECK, STOCKS_EXIT</t>
        </is>
      </c>
      <c r="F300" s="0" t="inlineStr">
        <is>
          <t>GLOBAL_CHECK, STOCKS_EXIT</t>
        </is>
      </c>
      <c r="G300" s="0" t="inlineStr">
        <is>
          <t>LIVE_VEC_EMERGENCY_BRAKE_ENABLED</t>
        </is>
      </c>
      <c r="H300" s="0" t="inlineStr">
        <is>
          <t>GENERAL</t>
        </is>
      </c>
      <c r="I300" s="0" t="inlineStr">
        <is>
          <t>LIVE — wired</t>
        </is>
      </c>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0" t="n">
        <v>81</v>
      </c>
      <c r="B301" s="0" t="inlineStr">
        <is>
          <t>LIVE_VEC_EMERGENCY_BRAKE_ENABLED</t>
        </is>
      </c>
      <c r="C301" s="0" t="inlineStr">
        <is>
          <t>True</t>
        </is>
      </c>
      <c r="D301" s="0" t="inlineStr">
        <is>
          <t>Emergency brake enabled in live vector path. | Live read: `ER_TF', 'GOLDEN_RULE_HTF_VOTE_FILTER_TF', 'GR_FILTER_VEC_ENABLED', 'GR_FILTER_VE`</t>
        </is>
      </c>
      <c r="E301" s="0" t="inlineStr">
        <is>
          <t>GLOBAL_CHECK, STOCKS_EXIT</t>
        </is>
      </c>
      <c r="F301" s="0" t="inlineStr">
        <is>
          <t>GLOBAL_CHECK, STOCKS_EXIT</t>
        </is>
      </c>
      <c r="G301" s="0" t="inlineStr">
        <is>
          <t>LIVE_VEC_EMERGENCY_BRAKE_ENABLED</t>
        </is>
      </c>
      <c r="H301" s="0" t="inlineStr">
        <is>
          <t>GENERAL</t>
        </is>
      </c>
      <c r="I301" s="0" t="inlineStr">
        <is>
          <t>LIVE — wired</t>
        </is>
      </c>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0" t="n">
        <v>82</v>
      </c>
      <c r="B302" s="0" t="inlineStr">
        <is>
          <t>LR_BAND_LADDER_STOCH_EXTREME</t>
        </is>
      </c>
      <c r="C302" s="0" t="inlineStr">
        <is>
          <t>30.0</t>
        </is>
      </c>
      <c r="D302" s="0" t="inlineStr">
        <is>
          <t>Threshold/gate: LR_BAND_LADDER_STOCH_EXTREME — _TF', 'GR_FILTER_VEC_ENABLED', 'GR_FILTER_VEC_FILTER_TF', 'GR_FILTER_VEC_MIN_TFS', 'GR_V5_HTF_MIN_ALIGN', 'GR_V5_LTF_MIN | ex: `_TF', 'GR_FILTER_VEC_ENABLED', 'GR_FILTER_VEC_FILTER_TF', 'GR_FILTER_VEC_MIN_TFS`</t>
        </is>
      </c>
      <c r="E302" s="0" t="inlineStr">
        <is>
          <t>GLOBAL_CHECK, STOCKS_EXIT</t>
        </is>
      </c>
      <c r="F302" s="0" t="inlineStr">
        <is>
          <t>GLOBAL_CHECK, STOCKS_EXIT</t>
        </is>
      </c>
      <c r="G302" s="0" t="inlineStr">
        <is>
          <t>LR_BAND_LADDER_STOCH_EXTREME</t>
        </is>
      </c>
      <c r="H302" s="0" t="inlineStr">
        <is>
          <t>GENERAL</t>
        </is>
      </c>
      <c r="I302" s="0" t="inlineStr">
        <is>
          <t>LIVE — wired</t>
        </is>
      </c>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0" t="n">
        <v>82</v>
      </c>
      <c r="B303" s="0" t="inlineStr">
        <is>
          <t>LR_BAND_LADDER_STOCH_EXTREME</t>
        </is>
      </c>
      <c r="C303" s="0" t="inlineStr">
        <is>
          <t>30.0_ALT</t>
        </is>
      </c>
      <c r="D303" s="0" t="inlineStr">
        <is>
          <t>Threshold/gate: LR_BAND_LADDER_STOCH_EXTREME — _TF', 'GR_FILTER_VEC_ENABLED', 'GR_FILTER_VEC_FILTER_TF', 'GR_FILTER_VEC_MIN_TFS', 'GR_V5_HTF_MIN_ALIGN', 'GR_V5_LTF_MIN | ex: `_TF', 'GR_FILTER_VEC_ENABLED', 'GR_FILTER_VEC_FILTER_TF', 'GR_FILTER_VEC_MIN_TFS`</t>
        </is>
      </c>
      <c r="E303" s="0" t="inlineStr">
        <is>
          <t>GLOBAL_CHECK, STOCKS_EXIT</t>
        </is>
      </c>
      <c r="F303" s="0" t="inlineStr">
        <is>
          <t>GLOBAL_CHECK, STOCKS_EXIT</t>
        </is>
      </c>
      <c r="G303" s="0" t="inlineStr">
        <is>
          <t>LR_BAND_LADDER_STOCH_EXTREME</t>
        </is>
      </c>
      <c r="H303" s="0" t="inlineStr">
        <is>
          <t>GENERAL</t>
        </is>
      </c>
      <c r="I303" s="0" t="inlineStr">
        <is>
          <t>LIVE — wired</t>
        </is>
      </c>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0" t="n">
        <v>83</v>
      </c>
      <c r="B304" s="0" t="inlineStr">
        <is>
          <t>LR_BAND_LADDER_TF_BOTTOM</t>
        </is>
      </c>
      <c r="C304" s="0" t="inlineStr">
        <is>
          <t>0</t>
        </is>
      </c>
      <c r="D304" s="0" t="inlineStr">
        <is>
          <t>Threshold/gate: LR_BAND_LADDER_TF_BOTTOM — GR_FILTER_VEC_FILTER_TF', 'GR_FILTER_VEC_MIN_TFS', 'GR_V5_HTF_MIN_ALIGN', 'GR_V5_LTF_MIN_ALIGN', 'GR_V5_STATE_FILTER_TF' | ex: `GR_FILTER_VEC_FILTER_TF', 'GR_FILTER_VEC_MIN_TFS', 'GR_V5_HTF_MIN_ALIGN', 'GR_V5`</t>
        </is>
      </c>
      <c r="E304" s="0" t="inlineStr">
        <is>
          <t>GLOBAL_CHECK, STOCKS_EXIT</t>
        </is>
      </c>
      <c r="F304" s="0" t="inlineStr">
        <is>
          <t>GLOBAL_CHECK, STOCKS_EXIT</t>
        </is>
      </c>
      <c r="G304" s="0" t="inlineStr">
        <is>
          <t>LR_BAND_LADDER_TF_BOTTOM</t>
        </is>
      </c>
      <c r="H304" s="0" t="inlineStr">
        <is>
          <t>GENERAL</t>
        </is>
      </c>
      <c r="I304" s="0" t="inlineStr">
        <is>
          <t>LIVE — wired</t>
        </is>
      </c>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0" t="n">
        <v>83</v>
      </c>
      <c r="B305" s="0" t="inlineStr">
        <is>
          <t>LR_BAND_LADDER_TF_BOTTOM</t>
        </is>
      </c>
      <c r="C305" s="0" t="inlineStr">
        <is>
          <t>1</t>
        </is>
      </c>
      <c r="D305" s="0" t="inlineStr">
        <is>
          <t>Threshold/gate: LR_BAND_LADDER_TF_BOTTOM — GR_FILTER_VEC_FILTER_TF', 'GR_FILTER_VEC_MIN_TFS', 'GR_V5_HTF_MIN_ALIGN', 'GR_V5_LTF_MIN_ALIGN', 'GR_V5_STATE_FILTER_TF' | ex: `GR_FILTER_VEC_FILTER_TF', 'GR_FILTER_VEC_MIN_TFS', 'GR_V5_HTF_MIN_ALIGN', 'GR_V5`</t>
        </is>
      </c>
      <c r="E305" s="0" t="inlineStr">
        <is>
          <t>GLOBAL_CHECK, STOCKS_EXIT</t>
        </is>
      </c>
      <c r="F305" s="0" t="inlineStr">
        <is>
          <t>GLOBAL_CHECK, STOCKS_EXIT</t>
        </is>
      </c>
      <c r="G305" s="0" t="inlineStr">
        <is>
          <t>LR_BAND_LADDER_TF_BOTTOM</t>
        </is>
      </c>
      <c r="H305" s="0" t="inlineStr">
        <is>
          <t>GENERAL</t>
        </is>
      </c>
      <c r="I305" s="0" t="inlineStr">
        <is>
          <t>LIVE — wired</t>
        </is>
      </c>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0" t="n">
        <v>84</v>
      </c>
      <c r="B306" s="0" t="inlineStr">
        <is>
          <t>LR_BAND_LADDER_TF_TOP</t>
        </is>
      </c>
      <c r="C306" s="0" t="inlineStr">
        <is>
          <t>0</t>
        </is>
      </c>
      <c r="D306" s="0" t="inlineStr">
        <is>
          <t>Threshold/gate: LR_BAND_LADDER_TF_TOP — R_FILTER_VEC_MIN_TFS', 'GR_V5_HTF_MIN_ALIGN', 'GR_V5_LTF_MIN_ALIGN', 'GR_V5_STATE_FILTER_TF', 'HAIKU_WINNER_FILTER_TF',  | ex: `R_FILTER_VEC_MIN_TFS', 'GR_V5_HTF_MIN_ALIGN', 'GR_V5_LTF_MIN_ALIGN', 'GR_V5_STAT`</t>
        </is>
      </c>
      <c r="E306" s="0" t="inlineStr">
        <is>
          <t>GLOBAL_CHECK, STOCKS_EXIT</t>
        </is>
      </c>
      <c r="F306" s="0" t="inlineStr">
        <is>
          <t>GLOBAL_CHECK, STOCKS_EXIT</t>
        </is>
      </c>
      <c r="G306" s="0" t="inlineStr">
        <is>
          <t>LR_BAND_LADDER_TF_TOP</t>
        </is>
      </c>
      <c r="H306" s="0" t="inlineStr">
        <is>
          <t>GENERAL</t>
        </is>
      </c>
      <c r="I306" s="0" t="inlineStr">
        <is>
          <t>LIVE — wired</t>
        </is>
      </c>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0" t="n">
        <v>84</v>
      </c>
      <c r="B307" s="0" t="inlineStr">
        <is>
          <t>LR_BAND_LADDER_TF_TOP</t>
        </is>
      </c>
      <c r="C307" s="0" t="inlineStr">
        <is>
          <t>1</t>
        </is>
      </c>
      <c r="D307" s="0" t="inlineStr">
        <is>
          <t>Threshold/gate: LR_BAND_LADDER_TF_TOP — R_FILTER_VEC_MIN_TFS', 'GR_V5_HTF_MIN_ALIGN', 'GR_V5_LTF_MIN_ALIGN', 'GR_V5_STATE_FILTER_TF', 'HAIKU_WINNER_FILTER_TF',  | ex: `R_FILTER_VEC_MIN_TFS', 'GR_V5_HTF_MIN_ALIGN', 'GR_V5_LTF_MIN_ALIGN', 'GR_V5_STAT`</t>
        </is>
      </c>
      <c r="E307" s="0" t="inlineStr">
        <is>
          <t>GLOBAL_CHECK, STOCKS_EXIT</t>
        </is>
      </c>
      <c r="F307" s="0" t="inlineStr">
        <is>
          <t>GLOBAL_CHECK, STOCKS_EXIT</t>
        </is>
      </c>
      <c r="G307" s="0" t="inlineStr">
        <is>
          <t>LR_BAND_LADDER_TF_TOP</t>
        </is>
      </c>
      <c r="H307" s="0" t="inlineStr">
        <is>
          <t>GENERAL</t>
        </is>
      </c>
      <c r="I307" s="0" t="inlineStr">
        <is>
          <t>LIVE — wired</t>
        </is>
      </c>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0" t="n">
        <v>85</v>
      </c>
      <c r="B308" s="0" t="inlineStr">
        <is>
          <t>MANDATORY_REENTRY_WT_FILTER_MIN_TFS</t>
        </is>
      </c>
      <c r="C308" s="0" t="inlineStr">
        <is>
          <t>1</t>
        </is>
      </c>
      <c r="D308" s="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0" t="inlineStr">
        <is>
          <t>GLOBAL_CHECK, STOCKS_EXIT</t>
        </is>
      </c>
      <c r="F308" s="0" t="inlineStr">
        <is>
          <t>GLOBAL_CHECK, STOCKS_EXIT</t>
        </is>
      </c>
      <c r="G308" s="0" t="inlineStr">
        <is>
          <t>MANDATORY_REENTRY_WT_FILTER_MIN_</t>
        </is>
      </c>
      <c r="H308" s="0" t="inlineStr">
        <is>
          <t>GENERAL</t>
        </is>
      </c>
      <c r="I308" s="0" t="inlineStr">
        <is>
          <t>LIVE — wired</t>
        </is>
      </c>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0" t="n">
        <v>85</v>
      </c>
      <c r="B309" s="0" t="inlineStr">
        <is>
          <t>MANDATORY_REENTRY_WT_FILTER_MIN_TFS</t>
        </is>
      </c>
      <c r="C309" s="0" t="inlineStr">
        <is>
          <t>3</t>
        </is>
      </c>
      <c r="D309" s="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0" t="inlineStr">
        <is>
          <t>GLOBAL_CHECK, STOCKS_EXIT</t>
        </is>
      </c>
      <c r="F309" s="0" t="inlineStr">
        <is>
          <t>GLOBAL_CHECK, STOCKS_EXIT</t>
        </is>
      </c>
      <c r="G309" s="0" t="inlineStr">
        <is>
          <t>MANDATORY_REENTRY_WT_FILTER_MIN_</t>
        </is>
      </c>
      <c r="H309" s="0" t="inlineStr">
        <is>
          <t>GENERAL</t>
        </is>
      </c>
      <c r="I309" s="0" t="inlineStr">
        <is>
          <t>LIVE — wired</t>
        </is>
      </c>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0" t="n">
        <v>85</v>
      </c>
      <c r="B310" s="0" t="inlineStr">
        <is>
          <t>MANDATORY_REENTRY_WT_FILTER_MIN_TFS</t>
        </is>
      </c>
      <c r="C310" s="0" t="inlineStr">
        <is>
          <t>2</t>
        </is>
      </c>
      <c r="D310" s="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0" t="inlineStr">
        <is>
          <t>GLOBAL_CHECK, STOCKS_EXIT</t>
        </is>
      </c>
      <c r="F310" s="0" t="inlineStr">
        <is>
          <t>GLOBAL_CHECK, STOCKS_EXIT</t>
        </is>
      </c>
      <c r="G310" s="0" t="inlineStr">
        <is>
          <t>MANDATORY_REENTRY_WT_FILTER_MIN_</t>
        </is>
      </c>
      <c r="H310" s="0" t="inlineStr">
        <is>
          <t>GENERAL</t>
        </is>
      </c>
      <c r="I310" s="0" t="inlineStr">
        <is>
          <t>LIVE — wired</t>
        </is>
      </c>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0" t="n">
        <v>86</v>
      </c>
      <c r="B311" s="0" t="inlineStr">
        <is>
          <t>MANDATORY_REENTRY_WT_FILTER_MIN_VELOCITY</t>
        </is>
      </c>
      <c r="C311" s="0" t="inlineStr">
        <is>
          <t>0.0</t>
        </is>
      </c>
      <c r="D311" s="0" t="inlineStr">
        <is>
          <t>Threshold/gate: MANDATORY_REENTRY_WT_FILTER_MIN_VELOCITY — D', 'GUARANTEED_REENTRY_DELTA_GATE_ENABLED', 'GUARANTEED_REENTRY_K_FAVORABLE_HIGH', 'GUARANTEED_REENTRY_K_FAVORABLE_LOW' | ex: `D', 'GUARANTEED_REENTRY_DELTA_GATE_ENABLED', 'GUARANTEED_REENTRY_K_FAVORABLE_HIG`</t>
        </is>
      </c>
      <c r="E311" s="0" t="inlineStr">
        <is>
          <t>GLOBAL_CHECK, STOCKS_EXIT</t>
        </is>
      </c>
      <c r="F311" s="0" t="inlineStr">
        <is>
          <t>GLOBAL_CHECK, STOCKS_EXIT</t>
        </is>
      </c>
      <c r="G311" s="0" t="inlineStr">
        <is>
          <t>MANDATORY_REENTRY_WT_FILTER_MIN_</t>
        </is>
      </c>
      <c r="H311" s="0" t="inlineStr">
        <is>
          <t>GENERAL</t>
        </is>
      </c>
      <c r="I311" s="0" t="inlineStr">
        <is>
          <t>LIVE — wired</t>
        </is>
      </c>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0" t="n">
        <v>86</v>
      </c>
      <c r="B312" s="0" t="inlineStr">
        <is>
          <t>MANDATORY_REENTRY_WT_FILTER_MIN_VELOCITY</t>
        </is>
      </c>
      <c r="C312" s="0" t="inlineStr">
        <is>
          <t>0.0_ALT</t>
        </is>
      </c>
      <c r="D312" s="0" t="inlineStr">
        <is>
          <t>Threshold/gate: MANDATORY_REENTRY_WT_FILTER_MIN_VELOCITY — D', 'GUARANTEED_REENTRY_DELTA_GATE_ENABLED', 'GUARANTEED_REENTRY_K_FAVORABLE_HIGH', 'GUARANTEED_REENTRY_K_FAVORABLE_LOW' | ex: `D', 'GUARANTEED_REENTRY_DELTA_GATE_ENABLED', 'GUARANTEED_REENTRY_K_FAVORABLE_HIG`</t>
        </is>
      </c>
      <c r="E312" s="0" t="inlineStr">
        <is>
          <t>GLOBAL_CHECK, STOCKS_EXIT</t>
        </is>
      </c>
      <c r="F312" s="0" t="inlineStr">
        <is>
          <t>GLOBAL_CHECK, STOCKS_EXIT</t>
        </is>
      </c>
      <c r="G312" s="0" t="inlineStr">
        <is>
          <t>MANDATORY_REENTRY_WT_FILTER_MIN_</t>
        </is>
      </c>
      <c r="H312" s="0" t="inlineStr">
        <is>
          <t>GENERAL</t>
        </is>
      </c>
      <c r="I312" s="0" t="inlineStr">
        <is>
          <t>LIVE — wired</t>
        </is>
      </c>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0" t="n">
        <v>87</v>
      </c>
      <c r="B313" s="0" t="inlineStr">
        <is>
          <t>MANDATORY_REENTRY_WT_FILTER_REQUIRE_FLIP</t>
        </is>
      </c>
      <c r="C313" s="0" t="inlineStr">
        <is>
          <t>False</t>
        </is>
      </c>
      <c r="D313" s="0" t="inlineStr">
        <is>
          <t>Threshold/gate: MANDATORY_REENTRY_WT_FILTER_REQUIRE_FLIP — 'GUARANTEED_REENTRY_K_FAVORABLE_HIGH', 'GUARANTEED_REENTRY_K_FAVORABLE_LOW', 'GUARANTEED_REENTRY_K_HIGH_BLOCK', 'GUARANT | ex: `'GUARANTEED_REENTRY_K_FAVORABLE_HIGH', 'GUARANTEED_REENTRY_K_FAVORABLE_LOW', 'GU`</t>
        </is>
      </c>
      <c r="E313" s="0" t="inlineStr">
        <is>
          <t>GLOBAL_CHECK, STOCKS_EXIT</t>
        </is>
      </c>
      <c r="F313" s="0" t="inlineStr">
        <is>
          <t>GLOBAL_CHECK, STOCKS_EXIT</t>
        </is>
      </c>
      <c r="G313" s="0" t="inlineStr">
        <is>
          <t>MANDATORY_REENTRY_WT_FILTER_REQU</t>
        </is>
      </c>
      <c r="H313" s="0" t="inlineStr">
        <is>
          <t>GENERAL</t>
        </is>
      </c>
      <c r="I313" s="0" t="inlineStr">
        <is>
          <t>LIVE — wired</t>
        </is>
      </c>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0" t="n">
        <v>87</v>
      </c>
      <c r="B314" s="0" t="inlineStr">
        <is>
          <t>MANDATORY_REENTRY_WT_FILTER_REQUIRE_FLIP</t>
        </is>
      </c>
      <c r="C314" s="0" t="inlineStr">
        <is>
          <t>False_ALT</t>
        </is>
      </c>
      <c r="D314" s="0" t="inlineStr">
        <is>
          <t>Threshold/gate: MANDATORY_REENTRY_WT_FILTER_REQUIRE_FLIP — 'GUARANTEED_REENTRY_K_FAVORABLE_HIGH', 'GUARANTEED_REENTRY_K_FAVORABLE_LOW', 'GUARANTEED_REENTRY_K_HIGH_BLOCK', 'GUARANT | ex: `'GUARANTEED_REENTRY_K_FAVORABLE_HIGH', 'GUARANTEED_REENTRY_K_FAVORABLE_LOW', 'GU`</t>
        </is>
      </c>
      <c r="E314" s="0" t="inlineStr">
        <is>
          <t>GLOBAL_CHECK, STOCKS_EXIT</t>
        </is>
      </c>
      <c r="F314" s="0" t="inlineStr">
        <is>
          <t>GLOBAL_CHECK, STOCKS_EXIT</t>
        </is>
      </c>
      <c r="G314" s="0" t="inlineStr">
        <is>
          <t>MANDATORY_REENTRY_WT_FILTER_REQU</t>
        </is>
      </c>
      <c r="H314" s="0" t="inlineStr">
        <is>
          <t>GENERAL</t>
        </is>
      </c>
      <c r="I314" s="0" t="inlineStr">
        <is>
          <t>LIVE — wired</t>
        </is>
      </c>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0" t="n">
        <v>88</v>
      </c>
      <c r="B315" s="0" t="inlineStr">
        <is>
          <t>MANDATORY_REENTRY_WT_FILTER_TF_MODE</t>
        </is>
      </c>
      <c r="C315" s="0" t="inlineStr">
        <is>
          <t>15m_only</t>
        </is>
      </c>
      <c r="D315" s="0" t="inlineStr">
        <is>
          <t>WT filter mode for mandatory reentry (e.g. 5m_or_15m). | Live read: `RANTEED_REENTRY_K_FAVORABLE_LOW', 'GUARANTEED_REENTRY_K_HIGH_BLOCK', 'GUARANTEED`</t>
        </is>
      </c>
      <c r="E315" s="0" t="inlineStr">
        <is>
          <t>GLOBAL_CHECK, STOCKS_EXIT</t>
        </is>
      </c>
      <c r="F315" s="0" t="inlineStr">
        <is>
          <t>GLOBAL_CHECK, STOCKS_EXIT</t>
        </is>
      </c>
      <c r="G315" s="0" t="inlineStr">
        <is>
          <t>MANDATORY_REENTRY_WT_MODE</t>
        </is>
      </c>
      <c r="H315" s="0" t="inlineStr">
        <is>
          <t>SPECIFIC — only gated switches</t>
        </is>
      </c>
      <c r="I315" s="0" t="inlineStr">
        <is>
          <t>LIVE — wired</t>
        </is>
      </c>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0" t="n">
        <v>88</v>
      </c>
      <c r="B316" s="0" t="inlineStr">
        <is>
          <t>MANDATORY_REENTRY_WT_FILTER_TF_MODE</t>
        </is>
      </c>
      <c r="C316" s="0" t="inlineStr">
        <is>
          <t>15m_only_ALT</t>
        </is>
      </c>
      <c r="D316" s="0" t="inlineStr">
        <is>
          <t>WT filter mode for mandatory reentry (e.g. 5m_or_15m). | Live read: `RANTEED_REENTRY_K_FAVORABLE_LOW', 'GUARANTEED_REENTRY_K_HIGH_BLOCK', 'GUARANTEED`</t>
        </is>
      </c>
      <c r="E316" s="0" t="inlineStr">
        <is>
          <t>GLOBAL_CHECK, STOCKS_EXIT</t>
        </is>
      </c>
      <c r="F316" s="0" t="inlineStr">
        <is>
          <t>GLOBAL_CHECK, STOCKS_EXIT</t>
        </is>
      </c>
      <c r="G316" s="0" t="inlineStr">
        <is>
          <t>MANDATORY_REENTRY_WT_MODE</t>
        </is>
      </c>
      <c r="H316" s="0" t="inlineStr">
        <is>
          <t>SPECIFIC — only gated switches</t>
        </is>
      </c>
      <c r="I316" s="0" t="inlineStr">
        <is>
          <t>LIVE — wired</t>
        </is>
      </c>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0" t="n">
        <v>89</v>
      </c>
      <c r="B317" s="0" t="inlineStr">
        <is>
          <t>MANDATORY_REENTRY_WT_FILTER_VELOCITY_RATIO</t>
        </is>
      </c>
      <c r="C317" s="0" t="inlineStr">
        <is>
          <t>0.90</t>
        </is>
      </c>
      <c r="D317"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0" t="inlineStr">
        <is>
          <t>GLOBAL_CHECK, STOCKS_EXIT</t>
        </is>
      </c>
      <c r="F317" s="0" t="inlineStr">
        <is>
          <t>GLOBAL_CHECK, STOCKS_EXIT</t>
        </is>
      </c>
      <c r="G317" s="0" t="inlineStr">
        <is>
          <t>MANDATORY_REENTRY_WT_FILTER_VELO</t>
        </is>
      </c>
      <c r="H317" s="0" t="inlineStr">
        <is>
          <t>GENERAL</t>
        </is>
      </c>
      <c r="I317" s="0" t="inlineStr">
        <is>
          <t>LIVE — wired</t>
        </is>
      </c>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0" t="n">
        <v>89</v>
      </c>
      <c r="B318" s="0" t="inlineStr">
        <is>
          <t>MANDATORY_REENTRY_WT_FILTER_VELOCITY_RATIO</t>
        </is>
      </c>
      <c r="C318" s="0" t="inlineStr">
        <is>
          <t>0.90_ALT</t>
        </is>
      </c>
      <c r="D318"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0" t="inlineStr">
        <is>
          <t>GLOBAL_CHECK, STOCKS_EXIT</t>
        </is>
      </c>
      <c r="F318" s="0" t="inlineStr">
        <is>
          <t>GLOBAL_CHECK, STOCKS_EXIT</t>
        </is>
      </c>
      <c r="G318" s="0" t="inlineStr">
        <is>
          <t>MANDATORY_REENTRY_WT_FILTER_VELO</t>
        </is>
      </c>
      <c r="H318" s="0" t="inlineStr">
        <is>
          <t>GENERAL</t>
        </is>
      </c>
      <c r="I318" s="0" t="inlineStr">
        <is>
          <t>LIVE — wired</t>
        </is>
      </c>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0" t="n">
        <v>90</v>
      </c>
      <c r="B319" s="0" t="inlineStr">
        <is>
          <t>MARKET_QUALITY_SCORE_ENABLED</t>
        </is>
      </c>
      <c r="C319" s="0" t="inlineStr">
        <is>
          <t>False</t>
        </is>
      </c>
      <c r="D319" s="0" t="inlineStr">
        <is>
          <t>Market quality score gate (choppiness). | Live read: `'MARKET_QUALITY_SCORE_ENABLED_TRADIER', 'MARK_PRICE_MAX_STALENESS', 'MAX_ALLOWED`</t>
        </is>
      </c>
      <c r="E319" s="0" t="inlineStr">
        <is>
          <t>ENTRY, GLOBAL_CHECK, STOCKS_EXIT</t>
        </is>
      </c>
      <c r="F319" s="0" t="inlineStr">
        <is>
          <t>ENTRY, GLOBAL_CHECK, STOCKS_EXIT</t>
        </is>
      </c>
      <c r="G319" s="0" t="inlineStr">
        <is>
          <t>MARKET_QUALITY_SCORE_ENABLED</t>
        </is>
      </c>
      <c r="H319" s="0" t="inlineStr">
        <is>
          <t>GENERAL — uniform</t>
        </is>
      </c>
      <c r="I319" s="0" t="inlineStr">
        <is>
          <t>LIVE — wired</t>
        </is>
      </c>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0" t="n">
        <v>90</v>
      </c>
      <c r="B320" s="0" t="inlineStr">
        <is>
          <t>MARKET_QUALITY_SCORE_ENABLED</t>
        </is>
      </c>
      <c r="C320" s="0" t="inlineStr">
        <is>
          <t>True</t>
        </is>
      </c>
      <c r="D320" s="0" t="inlineStr">
        <is>
          <t>Market quality score gate (choppiness). | Live read: `'MARKET_QUALITY_SCORE_ENABLED_TRADIER', 'MARK_PRICE_MAX_STALENESS', 'MAX_ALLOWED`</t>
        </is>
      </c>
      <c r="E320" s="0" t="inlineStr">
        <is>
          <t>ENTRY, GLOBAL_CHECK, STOCKS_EXIT</t>
        </is>
      </c>
      <c r="F320" s="0" t="inlineStr">
        <is>
          <t>ENTRY, GLOBAL_CHECK, STOCKS_EXIT</t>
        </is>
      </c>
      <c r="G320" s="0" t="inlineStr">
        <is>
          <t>MARKET_QUALITY_SCORE_ENABLED</t>
        </is>
      </c>
      <c r="H320" s="0" t="inlineStr">
        <is>
          <t>GENERAL — uniform</t>
        </is>
      </c>
      <c r="I320" s="0" t="inlineStr">
        <is>
          <t>LIVE — wired</t>
        </is>
      </c>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0" t="n">
        <v>91</v>
      </c>
      <c r="B321" s="0" t="inlineStr">
        <is>
          <t>MI_TF_AGREE_MIN</t>
        </is>
      </c>
      <c r="C321" s="0" t="inlineStr">
        <is>
          <t>0.0</t>
        </is>
      </c>
      <c r="D321" s="0" t="inlineStr">
        <is>
          <t>Market internals: min TFs agreeing. | Live read: `STATE_FILTER_TF', 'HAIKU_WINNER_FILTER_TF', 'HOUR_OF_DAY_GATE_ENABLED', 'HTF4_CO`</t>
        </is>
      </c>
      <c r="E321" s="0" t="inlineStr">
        <is>
          <t>ENTRY, GLOBAL_CHECK, STOCKS_EXIT</t>
        </is>
      </c>
      <c r="F321" s="0" t="inlineStr">
        <is>
          <t>ENTRY, GLOBAL_CHECK, STOCKS_EXIT</t>
        </is>
      </c>
      <c r="G321" s="0" t="inlineStr">
        <is>
          <t>MI_TF_AGREE_MIN</t>
        </is>
      </c>
      <c r="H321" s="0" t="inlineStr">
        <is>
          <t>GENERAL</t>
        </is>
      </c>
      <c r="I321" s="0" t="inlineStr">
        <is>
          <t>LIVE — wired</t>
        </is>
      </c>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0" t="n">
        <v>91</v>
      </c>
      <c r="B322" s="0" t="inlineStr">
        <is>
          <t>MI_TF_AGREE_MIN</t>
        </is>
      </c>
      <c r="C322" s="0" t="inlineStr">
        <is>
          <t>0.0_ALT</t>
        </is>
      </c>
      <c r="D322" s="0" t="inlineStr">
        <is>
          <t>Market internals: min TFs agreeing. | Live read: `STATE_FILTER_TF', 'HAIKU_WINNER_FILTER_TF', 'HOUR_OF_DAY_GATE_ENABLED', 'HTF4_CO`</t>
        </is>
      </c>
      <c r="E322" s="0" t="inlineStr">
        <is>
          <t>ENTRY, GLOBAL_CHECK, STOCKS_EXIT</t>
        </is>
      </c>
      <c r="F322" s="0" t="inlineStr">
        <is>
          <t>ENTRY, GLOBAL_CHECK, STOCKS_EXIT</t>
        </is>
      </c>
      <c r="G322" s="0" t="inlineStr">
        <is>
          <t>MI_TF_AGREE_MIN</t>
        </is>
      </c>
      <c r="H322" s="0" t="inlineStr">
        <is>
          <t>GENERAL</t>
        </is>
      </c>
      <c r="I322" s="0" t="inlineStr">
        <is>
          <t>LIVE — wired</t>
        </is>
      </c>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0" t="n">
        <v>92</v>
      </c>
      <c r="B323" s="0" t="inlineStr">
        <is>
          <t>MOM3_FILTER_TF</t>
        </is>
      </c>
      <c r="C323" s="0" t="inlineStr">
        <is>
          <t>OFF</t>
        </is>
      </c>
      <c r="D323" s="0" t="inlineStr">
        <is>
          <t>MOM3 momentum gate TF. | Live read: `HAIKU_WINNER_FILTER_TF', 'HOUR_OF_DAY_GATE_ENABLED', 'HTF4_CONF', 'HTF_ALIGN_REQ`</t>
        </is>
      </c>
      <c r="E323" s="0" t="inlineStr">
        <is>
          <t>GLOBAL_CHECK</t>
        </is>
      </c>
      <c r="F323" s="0" t="inlineStr">
        <is>
          <t>GLOBAL_CHECK</t>
        </is>
      </c>
      <c r="G323" s="0" t="inlineStr">
        <is>
          <t>MOM3</t>
        </is>
      </c>
      <c r="H323" s="0" t="inlineStr">
        <is>
          <t>SPECIFIC — only gated switches</t>
        </is>
      </c>
      <c r="I323" s="0" t="inlineStr">
        <is>
          <t>LIVE — wired</t>
        </is>
      </c>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0" t="n">
        <v>92</v>
      </c>
      <c r="B324" s="0" t="inlineStr">
        <is>
          <t>MOM3_FILTER_TF</t>
        </is>
      </c>
      <c r="C324" s="0" t="inlineStr">
        <is>
          <t>D</t>
        </is>
      </c>
      <c r="D324" s="0" t="inlineStr">
        <is>
          <t>MOM3 momentum gate TF. | Live read: `HAIKU_WINNER_FILTER_TF', 'HOUR_OF_DAY_GATE_ENABLED', 'HTF4_CONF', 'HTF_ALIGN_REQ`</t>
        </is>
      </c>
      <c r="E324" s="0" t="inlineStr">
        <is>
          <t>GLOBAL_CHECK</t>
        </is>
      </c>
      <c r="F324" s="0" t="inlineStr">
        <is>
          <t>GLOBAL_CHECK</t>
        </is>
      </c>
      <c r="G324" s="0" t="inlineStr">
        <is>
          <t>MOM3</t>
        </is>
      </c>
      <c r="H324" s="0" t="inlineStr">
        <is>
          <t>SPECIFIC — only gated switches</t>
        </is>
      </c>
      <c r="I324" s="0" t="inlineStr">
        <is>
          <t>LIVE — wired</t>
        </is>
      </c>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0" t="n">
        <v>92</v>
      </c>
      <c r="B325" s="0" t="inlineStr">
        <is>
          <t>MOM3_FILTER_TF</t>
        </is>
      </c>
      <c r="C325" s="0" t="inlineStr">
        <is>
          <t>4h</t>
        </is>
      </c>
      <c r="D325" s="0" t="inlineStr">
        <is>
          <t>MOM3 momentum gate TF. | Live read: `HAIKU_WINNER_FILTER_TF', 'HOUR_OF_DAY_GATE_ENABLED', 'HTF4_CONF', 'HTF_ALIGN_REQ`</t>
        </is>
      </c>
      <c r="E325" s="0" t="inlineStr">
        <is>
          <t>GLOBAL_CHECK</t>
        </is>
      </c>
      <c r="F325" s="0" t="inlineStr">
        <is>
          <t>GLOBAL_CHECK</t>
        </is>
      </c>
      <c r="G325" s="0" t="inlineStr">
        <is>
          <t>MOM3</t>
        </is>
      </c>
      <c r="H325" s="0" t="inlineStr">
        <is>
          <t>SPECIFIC — only gated switches</t>
        </is>
      </c>
      <c r="I325" s="0" t="inlineStr">
        <is>
          <t>LIVE — wired</t>
        </is>
      </c>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0" t="n">
        <v>92</v>
      </c>
      <c r="B326" s="0" t="inlineStr">
        <is>
          <t>MOM3_FILTER_TF</t>
        </is>
      </c>
      <c r="C326" s="0" t="inlineStr">
        <is>
          <t>1h</t>
        </is>
      </c>
      <c r="D326" s="0" t="inlineStr">
        <is>
          <t>MOM3 momentum gate TF. | Live read: `HAIKU_WINNER_FILTER_TF', 'HOUR_OF_DAY_GATE_ENABLED', 'HTF4_CONF', 'HTF_ALIGN_REQ`</t>
        </is>
      </c>
      <c r="E326" s="0" t="inlineStr">
        <is>
          <t>GLOBAL_CHECK</t>
        </is>
      </c>
      <c r="F326" s="0" t="inlineStr">
        <is>
          <t>GLOBAL_CHECK</t>
        </is>
      </c>
      <c r="G326" s="0" t="inlineStr">
        <is>
          <t>MOM3</t>
        </is>
      </c>
      <c r="H326" s="0" t="inlineStr">
        <is>
          <t>SPECIFIC — only gated switches</t>
        </is>
      </c>
      <c r="I326" s="0" t="inlineStr">
        <is>
          <t>LIVE — wired</t>
        </is>
      </c>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0" t="n">
        <v>92</v>
      </c>
      <c r="B327" s="0" t="inlineStr">
        <is>
          <t>MOM3_FILTER_TF</t>
        </is>
      </c>
      <c r="C327" s="0" t="inlineStr">
        <is>
          <t>15m</t>
        </is>
      </c>
      <c r="D327" s="0" t="inlineStr">
        <is>
          <t>MOM3 momentum gate TF. | Live read: `HAIKU_WINNER_FILTER_TF', 'HOUR_OF_DAY_GATE_ENABLED', 'HTF4_CONF', 'HTF_ALIGN_REQ`</t>
        </is>
      </c>
      <c r="E327" s="0" t="inlineStr">
        <is>
          <t>GLOBAL_CHECK</t>
        </is>
      </c>
      <c r="F327" s="0" t="inlineStr">
        <is>
          <t>GLOBAL_CHECK</t>
        </is>
      </c>
      <c r="G327" s="0" t="inlineStr">
        <is>
          <t>MOM3</t>
        </is>
      </c>
      <c r="H327" s="0" t="inlineStr">
        <is>
          <t>SPECIFIC — only gated switches</t>
        </is>
      </c>
      <c r="I327" s="0" t="inlineStr">
        <is>
          <t>LIVE — wired</t>
        </is>
      </c>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0" t="n">
        <v>93</v>
      </c>
      <c r="B328" s="0" t="inlineStr">
        <is>
          <t>MOMENTUM_BREAKOUT_FILTER_TF</t>
        </is>
      </c>
      <c r="C328" s="0" t="inlineStr">
        <is>
          <t>OFF</t>
        </is>
      </c>
      <c r="D328" s="0" t="inlineStr">
        <is>
          <t>Momentum breakout confirmation TF. | Live read: `PLY_TO_OPEN', 'HTF_GATE_BYPASS_RZ', 'HTF_GATE_D_MANDATORY', 'HTF_GATE_MIN_CONFIR`</t>
        </is>
      </c>
      <c r="E328" s="0" t="inlineStr">
        <is>
          <t>GLOBAL_CHECK</t>
        </is>
      </c>
      <c r="F328" s="0" t="inlineStr">
        <is>
          <t>GLOBAL_CHECK</t>
        </is>
      </c>
      <c r="G328" s="0" t="inlineStr">
        <is>
          <t>MOMENTUM_BREAKOUT</t>
        </is>
      </c>
      <c r="H328" s="0" t="inlineStr">
        <is>
          <t>SPECIFIC — only gated switches</t>
        </is>
      </c>
      <c r="I328" s="0" t="inlineStr">
        <is>
          <t>LIVE — wired</t>
        </is>
      </c>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0" t="n">
        <v>93</v>
      </c>
      <c r="B329" s="0" t="inlineStr">
        <is>
          <t>MOMENTUM_BREAKOUT_FILTER_TF</t>
        </is>
      </c>
      <c r="C329" s="0" t="inlineStr">
        <is>
          <t>D</t>
        </is>
      </c>
      <c r="D329" s="0" t="inlineStr">
        <is>
          <t>Momentum breakout confirmation TF. | Live read: `PLY_TO_OPEN', 'HTF_GATE_BYPASS_RZ', 'HTF_GATE_D_MANDATORY', 'HTF_GATE_MIN_CONFIR`</t>
        </is>
      </c>
      <c r="E329" s="0" t="inlineStr">
        <is>
          <t>GLOBAL_CHECK</t>
        </is>
      </c>
      <c r="F329" s="0" t="inlineStr">
        <is>
          <t>GLOBAL_CHECK</t>
        </is>
      </c>
      <c r="G329" s="0" t="inlineStr">
        <is>
          <t>MOMENTUM_BREAKOUT</t>
        </is>
      </c>
      <c r="H329" s="0" t="inlineStr">
        <is>
          <t>SPECIFIC — only gated switches</t>
        </is>
      </c>
      <c r="I329" s="0" t="inlineStr">
        <is>
          <t>LIVE — wired</t>
        </is>
      </c>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0" t="n">
        <v>93</v>
      </c>
      <c r="B330" s="0" t="inlineStr">
        <is>
          <t>MOMENTUM_BREAKOUT_FILTER_TF</t>
        </is>
      </c>
      <c r="C330" s="0" t="inlineStr">
        <is>
          <t>4h</t>
        </is>
      </c>
      <c r="D330" s="0" t="inlineStr">
        <is>
          <t>Momentum breakout confirmation TF. | Live read: `PLY_TO_OPEN', 'HTF_GATE_BYPASS_RZ', 'HTF_GATE_D_MANDATORY', 'HTF_GATE_MIN_CONFIR`</t>
        </is>
      </c>
      <c r="E330" s="0" t="inlineStr">
        <is>
          <t>GLOBAL_CHECK</t>
        </is>
      </c>
      <c r="F330" s="0" t="inlineStr">
        <is>
          <t>GLOBAL_CHECK</t>
        </is>
      </c>
      <c r="G330" s="0" t="inlineStr">
        <is>
          <t>MOMENTUM_BREAKOUT</t>
        </is>
      </c>
      <c r="H330" s="0" t="inlineStr">
        <is>
          <t>SPECIFIC — only gated switches</t>
        </is>
      </c>
      <c r="I330" s="0" t="inlineStr">
        <is>
          <t>LIVE — wired</t>
        </is>
      </c>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0" t="n">
        <v>93</v>
      </c>
      <c r="B331" s="0" t="inlineStr">
        <is>
          <t>MOMENTUM_BREAKOUT_FILTER_TF</t>
        </is>
      </c>
      <c r="C331" s="0" t="inlineStr">
        <is>
          <t>1h</t>
        </is>
      </c>
      <c r="D331" s="0" t="inlineStr">
        <is>
          <t>Momentum breakout confirmation TF. | Live read: `PLY_TO_OPEN', 'HTF_GATE_BYPASS_RZ', 'HTF_GATE_D_MANDATORY', 'HTF_GATE_MIN_CONFIR`</t>
        </is>
      </c>
      <c r="E331" s="0" t="inlineStr">
        <is>
          <t>GLOBAL_CHECK</t>
        </is>
      </c>
      <c r="F331" s="0" t="inlineStr">
        <is>
          <t>GLOBAL_CHECK</t>
        </is>
      </c>
      <c r="G331" s="0" t="inlineStr">
        <is>
          <t>MOMENTUM_BREAKOUT</t>
        </is>
      </c>
      <c r="H331" s="0" t="inlineStr">
        <is>
          <t>SPECIFIC — only gated switches</t>
        </is>
      </c>
      <c r="I331" s="0" t="inlineStr">
        <is>
          <t>LIVE — wired</t>
        </is>
      </c>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0" t="n">
        <v>93</v>
      </c>
      <c r="B332" s="0" t="inlineStr">
        <is>
          <t>MOMENTUM_BREAKOUT_FILTER_TF</t>
        </is>
      </c>
      <c r="C332" s="0" t="inlineStr">
        <is>
          <t>15m</t>
        </is>
      </c>
      <c r="D332" s="0" t="inlineStr">
        <is>
          <t>Momentum breakout confirmation TF. | Live read: `PLY_TO_OPEN', 'HTF_GATE_BYPASS_RZ', 'HTF_GATE_D_MANDATORY', 'HTF_GATE_MIN_CONFIR`</t>
        </is>
      </c>
      <c r="E332" s="0" t="inlineStr">
        <is>
          <t>GLOBAL_CHECK</t>
        </is>
      </c>
      <c r="F332" s="0" t="inlineStr">
        <is>
          <t>GLOBAL_CHECK</t>
        </is>
      </c>
      <c r="G332" s="0" t="inlineStr">
        <is>
          <t>MOMENTUM_BREAKOUT</t>
        </is>
      </c>
      <c r="H332" s="0" t="inlineStr">
        <is>
          <t>SPECIFIC — only gated switches</t>
        </is>
      </c>
      <c r="I332" s="0" t="inlineStr">
        <is>
          <t>LIVE — wired</t>
        </is>
      </c>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0" t="n">
        <v>94</v>
      </c>
      <c r="B333" s="0" t="inlineStr">
        <is>
          <t>MOVER_THRESHOLD</t>
        </is>
      </c>
      <c r="C333" s="0" t="inlineStr">
        <is>
          <t>5</t>
        </is>
      </c>
      <c r="D333" s="0" t="inlineStr">
        <is>
          <t>Mover threshold (volatility). | Live read: `_ = getattr(config, "MOVER_THRESHOLD", None)`</t>
        </is>
      </c>
      <c r="E333" s="0" t="inlineStr">
        <is>
          <t>ENTRY, GLOBAL_CHECK, STOCKS_EXIT</t>
        </is>
      </c>
      <c r="F333" s="0" t="inlineStr">
        <is>
          <t>ENTRY, GLOBAL_CHECK, STOCKS_EXIT</t>
        </is>
      </c>
      <c r="G333" s="0" t="inlineStr">
        <is>
          <t>MOVER_THRESHOLD</t>
        </is>
      </c>
      <c r="H333" s="0" t="inlineStr">
        <is>
          <t>GENERAL</t>
        </is>
      </c>
      <c r="I333" s="0" t="inlineStr">
        <is>
          <t>LIVE — wired</t>
        </is>
      </c>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0" t="n">
        <v>94</v>
      </c>
      <c r="B334" s="0" t="inlineStr">
        <is>
          <t>MOVER_THRESHOLD</t>
        </is>
      </c>
      <c r="C334" s="0" t="inlineStr">
        <is>
          <t>6.25</t>
        </is>
      </c>
      <c r="D334" s="0" t="inlineStr">
        <is>
          <t>Mover threshold (volatility). | Live read: `_ = getattr(config, "MOVER_THRESHOLD", None)`</t>
        </is>
      </c>
      <c r="E334" s="0" t="inlineStr">
        <is>
          <t>ENTRY, GLOBAL_CHECK, STOCKS_EXIT</t>
        </is>
      </c>
      <c r="F334" s="0" t="inlineStr">
        <is>
          <t>ENTRY, GLOBAL_CHECK, STOCKS_EXIT</t>
        </is>
      </c>
      <c r="G334" s="0" t="inlineStr">
        <is>
          <t>MOVER_THRESHOLD</t>
        </is>
      </c>
      <c r="H334" s="0" t="inlineStr">
        <is>
          <t>GENERAL</t>
        </is>
      </c>
      <c r="I334" s="0" t="inlineStr">
        <is>
          <t>LIVE — wired</t>
        </is>
      </c>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0" t="n">
        <v>94</v>
      </c>
      <c r="B335" s="0" t="inlineStr">
        <is>
          <t>MOVER_THRESHOLD</t>
        </is>
      </c>
      <c r="C335" s="0" t="inlineStr">
        <is>
          <t>3.75</t>
        </is>
      </c>
      <c r="D335" s="0" t="inlineStr">
        <is>
          <t>Mover threshold (volatility). | Live read: `_ = getattr(config, "MOVER_THRESHOLD", None)`</t>
        </is>
      </c>
      <c r="E335" s="0" t="inlineStr">
        <is>
          <t>ENTRY, GLOBAL_CHECK, STOCKS_EXIT</t>
        </is>
      </c>
      <c r="F335" s="0" t="inlineStr">
        <is>
          <t>ENTRY, GLOBAL_CHECK, STOCKS_EXIT</t>
        </is>
      </c>
      <c r="G335" s="0" t="inlineStr">
        <is>
          <t>MOVER_THRESHOLD</t>
        </is>
      </c>
      <c r="H335" s="0" t="inlineStr">
        <is>
          <t>GENERAL</t>
        </is>
      </c>
      <c r="I335" s="0" t="inlineStr">
        <is>
          <t>LIVE — wired</t>
        </is>
      </c>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0" t="n">
        <v>94</v>
      </c>
      <c r="B336" s="0" t="inlineStr">
        <is>
          <t>MOVER_THRESHOLD</t>
        </is>
      </c>
      <c r="C336" s="0" t="inlineStr">
        <is>
          <t>2.5</t>
        </is>
      </c>
      <c r="D336" s="0" t="inlineStr">
        <is>
          <t>Mover threshold (volatility). | Live read: `_ = getattr(config, "MOVER_THRESHOLD", None)`</t>
        </is>
      </c>
      <c r="E336" s="0" t="inlineStr">
        <is>
          <t>ENTRY, GLOBAL_CHECK, STOCKS_EXIT</t>
        </is>
      </c>
      <c r="F336" s="0" t="inlineStr">
        <is>
          <t>ENTRY, GLOBAL_CHECK, STOCKS_EXIT</t>
        </is>
      </c>
      <c r="G336" s="0" t="inlineStr">
        <is>
          <t>MOVER_THRESHOLD</t>
        </is>
      </c>
      <c r="H336" s="0" t="inlineStr">
        <is>
          <t>GENERAL</t>
        </is>
      </c>
      <c r="I336" s="0" t="inlineStr">
        <is>
          <t>LIVE — wired</t>
        </is>
      </c>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0" t="n">
        <v>95</v>
      </c>
      <c r="B337" s="0" t="inlineStr">
        <is>
          <t>MTF_ARMED_ENTRIES_FILTER_TF</t>
        </is>
      </c>
      <c r="C337" s="0" t="inlineStr">
        <is>
          <t>OFF</t>
        </is>
      </c>
      <c r="D337" s="0" t="inlineStr">
        <is>
          <t>MTF armed entries confirmation TF. | Live read: `G_VETO_FIX_ENABLED', 'HTF_REGIME_ADD_MULT_PER_SMA', 'HTF_REGIME_ENABLED', 'HTF_R`</t>
        </is>
      </c>
      <c r="E337" s="0" t="inlineStr">
        <is>
          <t>GLOBAL_CHECK</t>
        </is>
      </c>
      <c r="F337" s="0" t="inlineStr">
        <is>
          <t>GLOBAL_CHECK</t>
        </is>
      </c>
      <c r="G337" s="0" t="inlineStr">
        <is>
          <t>MTF_ARMED_ENTRIES</t>
        </is>
      </c>
      <c r="H337" s="0" t="inlineStr">
        <is>
          <t>SPECIFIC — only gated switches</t>
        </is>
      </c>
      <c r="I337" s="0" t="inlineStr">
        <is>
          <t>LIVE — wired</t>
        </is>
      </c>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0" t="n">
        <v>95</v>
      </c>
      <c r="B338" s="0" t="inlineStr">
        <is>
          <t>MTF_ARMED_ENTRIES_FILTER_TF</t>
        </is>
      </c>
      <c r="C338" s="0" t="inlineStr">
        <is>
          <t>D</t>
        </is>
      </c>
      <c r="D338" s="0" t="inlineStr">
        <is>
          <t>MTF armed entries confirmation TF. | Live read: `G_VETO_FIX_ENABLED', 'HTF_REGIME_ADD_MULT_PER_SMA', 'HTF_REGIME_ENABLED', 'HTF_R`</t>
        </is>
      </c>
      <c r="E338" s="0" t="inlineStr">
        <is>
          <t>GLOBAL_CHECK</t>
        </is>
      </c>
      <c r="F338" s="0" t="inlineStr">
        <is>
          <t>GLOBAL_CHECK</t>
        </is>
      </c>
      <c r="G338" s="0" t="inlineStr">
        <is>
          <t>MTF_ARMED_ENTRIES</t>
        </is>
      </c>
      <c r="H338" s="0" t="inlineStr">
        <is>
          <t>SPECIFIC — only gated switches</t>
        </is>
      </c>
      <c r="I338" s="0" t="inlineStr">
        <is>
          <t>LIVE — wired</t>
        </is>
      </c>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0" t="n">
        <v>95</v>
      </c>
      <c r="B339" s="0" t="inlineStr">
        <is>
          <t>MTF_ARMED_ENTRIES_FILTER_TF</t>
        </is>
      </c>
      <c r="C339" s="0" t="inlineStr">
        <is>
          <t>4h</t>
        </is>
      </c>
      <c r="D339" s="0" t="inlineStr">
        <is>
          <t>MTF armed entries confirmation TF. | Live read: `G_VETO_FIX_ENABLED', 'HTF_REGIME_ADD_MULT_PER_SMA', 'HTF_REGIME_ENABLED', 'HTF_R`</t>
        </is>
      </c>
      <c r="E339" s="0" t="inlineStr">
        <is>
          <t>GLOBAL_CHECK</t>
        </is>
      </c>
      <c r="F339" s="0" t="inlineStr">
        <is>
          <t>GLOBAL_CHECK</t>
        </is>
      </c>
      <c r="G339" s="0" t="inlineStr">
        <is>
          <t>MTF_ARMED_ENTRIES</t>
        </is>
      </c>
      <c r="H339" s="0" t="inlineStr">
        <is>
          <t>SPECIFIC — only gated switches</t>
        </is>
      </c>
      <c r="I339" s="0" t="inlineStr">
        <is>
          <t>LIVE — wired</t>
        </is>
      </c>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0" t="n">
        <v>95</v>
      </c>
      <c r="B340" s="0" t="inlineStr">
        <is>
          <t>MTF_ARMED_ENTRIES_FILTER_TF</t>
        </is>
      </c>
      <c r="C340" s="0" t="inlineStr">
        <is>
          <t>1h</t>
        </is>
      </c>
      <c r="D340" s="0" t="inlineStr">
        <is>
          <t>MTF armed entries confirmation TF. | Live read: `G_VETO_FIX_ENABLED', 'HTF_REGIME_ADD_MULT_PER_SMA', 'HTF_REGIME_ENABLED', 'HTF_R`</t>
        </is>
      </c>
      <c r="E340" s="0" t="inlineStr">
        <is>
          <t>GLOBAL_CHECK</t>
        </is>
      </c>
      <c r="F340" s="0" t="inlineStr">
        <is>
          <t>GLOBAL_CHECK</t>
        </is>
      </c>
      <c r="G340" s="0" t="inlineStr">
        <is>
          <t>MTF_ARMED_ENTRIES</t>
        </is>
      </c>
      <c r="H340" s="0" t="inlineStr">
        <is>
          <t>SPECIFIC — only gated switches</t>
        </is>
      </c>
      <c r="I340" s="0" t="inlineStr">
        <is>
          <t>LIVE — wired</t>
        </is>
      </c>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0" t="n">
        <v>95</v>
      </c>
      <c r="B341" s="0" t="inlineStr">
        <is>
          <t>MTF_ARMED_ENTRIES_FILTER_TF</t>
        </is>
      </c>
      <c r="C341" s="0" t="inlineStr">
        <is>
          <t>15m</t>
        </is>
      </c>
      <c r="D341" s="0" t="inlineStr">
        <is>
          <t>MTF armed entries confirmation TF. | Live read: `G_VETO_FIX_ENABLED', 'HTF_REGIME_ADD_MULT_PER_SMA', 'HTF_REGIME_ENABLED', 'HTF_R`</t>
        </is>
      </c>
      <c r="E341" s="0" t="inlineStr">
        <is>
          <t>GLOBAL_CHECK</t>
        </is>
      </c>
      <c r="F341" s="0" t="inlineStr">
        <is>
          <t>GLOBAL_CHECK</t>
        </is>
      </c>
      <c r="G341" s="0" t="inlineStr">
        <is>
          <t>MTF_ARMED_ENTRIES</t>
        </is>
      </c>
      <c r="H341" s="0" t="inlineStr">
        <is>
          <t>SPECIFIC — only gated switches</t>
        </is>
      </c>
      <c r="I341" s="0" t="inlineStr">
        <is>
          <t>LIVE — wired</t>
        </is>
      </c>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0" t="n">
        <v>96</v>
      </c>
      <c r="B342" s="0" t="inlineStr">
        <is>
          <t>MTF_ATR_TRAIL_FILTER_TF</t>
        </is>
      </c>
      <c r="C342" s="0" t="inlineStr">
        <is>
          <t>OFF</t>
        </is>
      </c>
      <c r="D342" s="0" t="inlineStr">
        <is>
          <t>MTF ATR trail confirmation TF. | Live read: `_TF', 'HTF_W_REVERSAL_EXIT', 'HYBRID_STRUCT_EXIT_ENABLED', 'LONG_STRUCT_EXIT_TF'`</t>
        </is>
      </c>
      <c r="E342" s="0" t="inlineStr">
        <is>
          <t>GLOBAL_CHECK</t>
        </is>
      </c>
      <c r="F342" s="0" t="inlineStr">
        <is>
          <t>EXIT</t>
        </is>
      </c>
      <c r="G342" s="0" t="inlineStr">
        <is>
          <t>ATR trail exits</t>
        </is>
      </c>
      <c r="H342" s="0" t="inlineStr">
        <is>
          <t>SPECIFIC — only gated switches</t>
        </is>
      </c>
      <c r="I342" s="0" t="inlineStr">
        <is>
          <t>LIVE — wired</t>
        </is>
      </c>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0" t="n">
        <v>96</v>
      </c>
      <c r="B343" s="0" t="inlineStr">
        <is>
          <t>MTF_ATR_TRAIL_FILTER_TF</t>
        </is>
      </c>
      <c r="C343" s="0" t="inlineStr">
        <is>
          <t>D</t>
        </is>
      </c>
      <c r="D343" s="0" t="inlineStr">
        <is>
          <t>MTF ATR trail confirmation TF. | Live read: `_TF', 'HTF_W_REVERSAL_EXIT', 'HYBRID_STRUCT_EXIT_ENABLED', 'LONG_STRUCT_EXIT_TF'`</t>
        </is>
      </c>
      <c r="E343" s="0" t="inlineStr">
        <is>
          <t>GLOBAL_CHECK</t>
        </is>
      </c>
      <c r="F343" s="0" t="inlineStr">
        <is>
          <t>EXIT</t>
        </is>
      </c>
      <c r="G343" s="0" t="inlineStr">
        <is>
          <t>ATR trail exits</t>
        </is>
      </c>
      <c r="H343" s="0" t="inlineStr">
        <is>
          <t>SPECIFIC — only gated switches</t>
        </is>
      </c>
      <c r="I343" s="0" t="inlineStr">
        <is>
          <t>LIVE — wired</t>
        </is>
      </c>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0" t="n">
        <v>96</v>
      </c>
      <c r="B344" s="0" t="inlineStr">
        <is>
          <t>MTF_ATR_TRAIL_FILTER_TF</t>
        </is>
      </c>
      <c r="C344" s="0" t="inlineStr">
        <is>
          <t>4h</t>
        </is>
      </c>
      <c r="D344" s="0" t="inlineStr">
        <is>
          <t>MTF ATR trail confirmation TF. | Live read: `_TF', 'HTF_W_REVERSAL_EXIT', 'HYBRID_STRUCT_EXIT_ENABLED', 'LONG_STRUCT_EXIT_TF'`</t>
        </is>
      </c>
      <c r="E344" s="0" t="inlineStr">
        <is>
          <t>GLOBAL_CHECK</t>
        </is>
      </c>
      <c r="F344" s="0" t="inlineStr">
        <is>
          <t>EXIT</t>
        </is>
      </c>
      <c r="G344" s="0" t="inlineStr">
        <is>
          <t>ATR trail exits</t>
        </is>
      </c>
      <c r="H344" s="0" t="inlineStr">
        <is>
          <t>SPECIFIC — only gated switches</t>
        </is>
      </c>
      <c r="I344" s="0" t="inlineStr">
        <is>
          <t>LIVE — wired</t>
        </is>
      </c>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0" t="n">
        <v>96</v>
      </c>
      <c r="B345" s="0" t="inlineStr">
        <is>
          <t>MTF_ATR_TRAIL_FILTER_TF</t>
        </is>
      </c>
      <c r="C345" s="0" t="inlineStr">
        <is>
          <t>1h</t>
        </is>
      </c>
      <c r="D345" s="0" t="inlineStr">
        <is>
          <t>MTF ATR trail confirmation TF. | Live read: `_TF', 'HTF_W_REVERSAL_EXIT', 'HYBRID_STRUCT_EXIT_ENABLED', 'LONG_STRUCT_EXIT_TF'`</t>
        </is>
      </c>
      <c r="E345" s="0" t="inlineStr">
        <is>
          <t>GLOBAL_CHECK</t>
        </is>
      </c>
      <c r="F345" s="0" t="inlineStr">
        <is>
          <t>EXIT</t>
        </is>
      </c>
      <c r="G345" s="0" t="inlineStr">
        <is>
          <t>ATR trail exits</t>
        </is>
      </c>
      <c r="H345" s="0" t="inlineStr">
        <is>
          <t>SPECIFIC — only gated switches</t>
        </is>
      </c>
      <c r="I345" s="0" t="inlineStr">
        <is>
          <t>LIVE — wired</t>
        </is>
      </c>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0" t="n">
        <v>96</v>
      </c>
      <c r="B346" s="0" t="inlineStr">
        <is>
          <t>MTF_ATR_TRAIL_FILTER_TF</t>
        </is>
      </c>
      <c r="C346" s="0" t="inlineStr">
        <is>
          <t>15m</t>
        </is>
      </c>
      <c r="D346" s="0" t="inlineStr">
        <is>
          <t>MTF ATR trail confirmation TF. | Live read: `_TF', 'HTF_W_REVERSAL_EXIT', 'HYBRID_STRUCT_EXIT_ENABLED', 'LONG_STRUCT_EXIT_TF'`</t>
        </is>
      </c>
      <c r="E346" s="0" t="inlineStr">
        <is>
          <t>GLOBAL_CHECK</t>
        </is>
      </c>
      <c r="F346" s="0" t="inlineStr">
        <is>
          <t>EXIT</t>
        </is>
      </c>
      <c r="G346" s="0" t="inlineStr">
        <is>
          <t>ATR trail exits</t>
        </is>
      </c>
      <c r="H346" s="0" t="inlineStr">
        <is>
          <t>SPECIFIC — only gated switches</t>
        </is>
      </c>
      <c r="I346" s="0" t="inlineStr">
        <is>
          <t>LIVE — wired</t>
        </is>
      </c>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0" t="n">
        <v>97</v>
      </c>
      <c r="B347" s="0" t="inlineStr">
        <is>
          <t>MTF_DC_REJECT_FILTER_TF</t>
        </is>
      </c>
      <c r="C347" s="0" t="inlineStr">
        <is>
          <t>OFF</t>
        </is>
      </c>
      <c r="D347" s="0" t="inlineStr">
        <is>
          <t>Rejects DC breaks that fail MTF confirmation. | Live read: `TF_REGIME_LEDGER_PATH', 'HTF_REGIME_SIZE_CAP', 'HTF_REGIME_TF', 'HTF_REGIME_VOL_`</t>
        </is>
      </c>
      <c r="E347" s="0" t="inlineStr">
        <is>
          <t>GLOBAL_CHECK</t>
        </is>
      </c>
      <c r="F347" s="0" t="inlineStr">
        <is>
          <t>GLOBAL_CHECK</t>
        </is>
      </c>
      <c r="G347" s="0" t="inlineStr">
        <is>
          <t>MTF_DC_REJECT</t>
        </is>
      </c>
      <c r="H347" s="0" t="inlineStr">
        <is>
          <t>SPECIFIC — only gated switches</t>
        </is>
      </c>
      <c r="I347" s="0" t="inlineStr">
        <is>
          <t>LIVE — wired</t>
        </is>
      </c>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0" t="n">
        <v>97</v>
      </c>
      <c r="B348" s="0" t="inlineStr">
        <is>
          <t>MTF_DC_REJECT_FILTER_TF</t>
        </is>
      </c>
      <c r="C348" s="0" t="inlineStr">
        <is>
          <t>D</t>
        </is>
      </c>
      <c r="D348" s="0" t="inlineStr">
        <is>
          <t>Rejects DC breaks that fail MTF confirmation. | Live read: `TF_REGIME_LEDGER_PATH', 'HTF_REGIME_SIZE_CAP', 'HTF_REGIME_TF', 'HTF_REGIME_VOL_`</t>
        </is>
      </c>
      <c r="E348" s="0" t="inlineStr">
        <is>
          <t>GLOBAL_CHECK</t>
        </is>
      </c>
      <c r="F348" s="0" t="inlineStr">
        <is>
          <t>GLOBAL_CHECK</t>
        </is>
      </c>
      <c r="G348" s="0" t="inlineStr">
        <is>
          <t>MTF_DC_REJECT</t>
        </is>
      </c>
      <c r="H348" s="0" t="inlineStr">
        <is>
          <t>SPECIFIC — only gated switches</t>
        </is>
      </c>
      <c r="I348" s="0" t="inlineStr">
        <is>
          <t>LIVE — wired</t>
        </is>
      </c>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0" t="n">
        <v>97</v>
      </c>
      <c r="B349" s="0" t="inlineStr">
        <is>
          <t>MTF_DC_REJECT_FILTER_TF</t>
        </is>
      </c>
      <c r="C349" s="0" t="inlineStr">
        <is>
          <t>4h</t>
        </is>
      </c>
      <c r="D349" s="0" t="inlineStr">
        <is>
          <t>Rejects DC breaks that fail MTF confirmation. | Live read: `TF_REGIME_LEDGER_PATH', 'HTF_REGIME_SIZE_CAP', 'HTF_REGIME_TF', 'HTF_REGIME_VOL_`</t>
        </is>
      </c>
      <c r="E349" s="0" t="inlineStr">
        <is>
          <t>GLOBAL_CHECK</t>
        </is>
      </c>
      <c r="F349" s="0" t="inlineStr">
        <is>
          <t>GLOBAL_CHECK</t>
        </is>
      </c>
      <c r="G349" s="0" t="inlineStr">
        <is>
          <t>MTF_DC_REJECT</t>
        </is>
      </c>
      <c r="H349" s="0" t="inlineStr">
        <is>
          <t>SPECIFIC — only gated switches</t>
        </is>
      </c>
      <c r="I349" s="0" t="inlineStr">
        <is>
          <t>LIVE — wired</t>
        </is>
      </c>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0" t="n">
        <v>97</v>
      </c>
      <c r="B350" s="0" t="inlineStr">
        <is>
          <t>MTF_DC_REJECT_FILTER_TF</t>
        </is>
      </c>
      <c r="C350" s="0" t="inlineStr">
        <is>
          <t>1h</t>
        </is>
      </c>
      <c r="D350" s="0" t="inlineStr">
        <is>
          <t>Rejects DC breaks that fail MTF confirmation. | Live read: `TF_REGIME_LEDGER_PATH', 'HTF_REGIME_SIZE_CAP', 'HTF_REGIME_TF', 'HTF_REGIME_VOL_`</t>
        </is>
      </c>
      <c r="E350" s="0" t="inlineStr">
        <is>
          <t>GLOBAL_CHECK</t>
        </is>
      </c>
      <c r="F350" s="0" t="inlineStr">
        <is>
          <t>GLOBAL_CHECK</t>
        </is>
      </c>
      <c r="G350" s="0" t="inlineStr">
        <is>
          <t>MTF_DC_REJECT</t>
        </is>
      </c>
      <c r="H350" s="0" t="inlineStr">
        <is>
          <t>SPECIFIC — only gated switches</t>
        </is>
      </c>
      <c r="I350" s="0" t="inlineStr">
        <is>
          <t>LIVE — wired</t>
        </is>
      </c>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0" t="n">
        <v>97</v>
      </c>
      <c r="B351" s="0" t="inlineStr">
        <is>
          <t>MTF_DC_REJECT_FILTER_TF</t>
        </is>
      </c>
      <c r="C351" s="0" t="inlineStr">
        <is>
          <t>15m</t>
        </is>
      </c>
      <c r="D351" s="0" t="inlineStr">
        <is>
          <t>Rejects DC breaks that fail MTF confirmation. | Live read: `TF_REGIME_LEDGER_PATH', 'HTF_REGIME_SIZE_CAP', 'HTF_REGIME_TF', 'HTF_REGIME_VOL_`</t>
        </is>
      </c>
      <c r="E351" s="0" t="inlineStr">
        <is>
          <t>GLOBAL_CHECK</t>
        </is>
      </c>
      <c r="F351" s="0" t="inlineStr">
        <is>
          <t>GLOBAL_CHECK</t>
        </is>
      </c>
      <c r="G351" s="0" t="inlineStr">
        <is>
          <t>MTF_DC_REJECT</t>
        </is>
      </c>
      <c r="H351" s="0" t="inlineStr">
        <is>
          <t>SPECIFIC — only gated switches</t>
        </is>
      </c>
      <c r="I351" s="0" t="inlineStr">
        <is>
          <t>LIVE — wired</t>
        </is>
      </c>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0" t="n">
        <v>98</v>
      </c>
      <c r="B352" s="0" t="inlineStr">
        <is>
          <t>MTF_FILTER_STRONG_BUY_QUICK_BYPASS</t>
        </is>
      </c>
      <c r="C352" s="0" t="inlineStr">
        <is>
          <t>0.0</t>
        </is>
      </c>
      <c r="D352" s="0" t="inlineStr">
        <is>
          <t>Bypasses MTF filter for strong buys in quick path. | Live read: `ABLED', 'LH_HL_FILTER_ENABLED', 'LH_HL_FILTER_HEDGE_GATE_ENABLED', 'LH_HL_FILTER`</t>
        </is>
      </c>
      <c r="E352" s="0" t="inlineStr">
        <is>
          <t>GLOBAL_CHECK, STOCKS_EXIT</t>
        </is>
      </c>
      <c r="F352" s="0" t="inlineStr">
        <is>
          <t>GLOBAL_CHECK, STOCKS_EXIT</t>
        </is>
      </c>
      <c r="G352" s="0" t="inlineStr">
        <is>
          <t>MTF_FILTER_STRONG_BUY_QUICK_BYPA</t>
        </is>
      </c>
      <c r="H352" s="0" t="inlineStr">
        <is>
          <t>GENERAL</t>
        </is>
      </c>
      <c r="I352" s="0" t="inlineStr">
        <is>
          <t>LIVE — wired</t>
        </is>
      </c>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0" t="n">
        <v>98</v>
      </c>
      <c r="B353" s="0" t="inlineStr">
        <is>
          <t>MTF_FILTER_STRONG_BUY_QUICK_BYPASS</t>
        </is>
      </c>
      <c r="C353" s="0" t="inlineStr">
        <is>
          <t>0.0_ALT</t>
        </is>
      </c>
      <c r="D353" s="0" t="inlineStr">
        <is>
          <t>Bypasses MTF filter for strong buys in quick path. | Live read: `ABLED', 'LH_HL_FILTER_ENABLED', 'LH_HL_FILTER_HEDGE_GATE_ENABLED', 'LH_HL_FILTER`</t>
        </is>
      </c>
      <c r="E353" s="0" t="inlineStr">
        <is>
          <t>GLOBAL_CHECK, STOCKS_EXIT</t>
        </is>
      </c>
      <c r="F353" s="0" t="inlineStr">
        <is>
          <t>GLOBAL_CHECK, STOCKS_EXIT</t>
        </is>
      </c>
      <c r="G353" s="0" t="inlineStr">
        <is>
          <t>MTF_FILTER_STRONG_BUY_QUICK_BYPA</t>
        </is>
      </c>
      <c r="H353" s="0" t="inlineStr">
        <is>
          <t>GENERAL</t>
        </is>
      </c>
      <c r="I353" s="0" t="inlineStr">
        <is>
          <t>LIVE — wired</t>
        </is>
      </c>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0" t="n">
        <v>99</v>
      </c>
      <c r="B354" s="0" t="inlineStr">
        <is>
          <t>MTF_GR_MIN_IND</t>
        </is>
      </c>
      <c r="C354" s="0" t="inlineStr">
        <is>
          <t>5</t>
        </is>
      </c>
      <c r="D354" s="0" t="inlineStr">
        <is>
          <t>Threshold/gate: MTF_GR_MIN_IND — _FILTER_HEDGE_GATE_ENABLED', 'LH_HL_FILTER_MODE', 'LH_HL_FILTER_REQUIRE_BOTH', 'LH_HL_FILTER_TF_REQ', 'LIVE_ENTRY_ENGINE | ex: `_FILTER_HEDGE_GATE_ENABLED', 'LH_HL_FILTER_MODE', 'LH_HL_FILTER_REQUIRE_BOTH', '`</t>
        </is>
      </c>
      <c r="E354" s="0" t="inlineStr">
        <is>
          <t>GLOBAL_CHECK, STOCKS_EXIT</t>
        </is>
      </c>
      <c r="F354" s="0" t="inlineStr">
        <is>
          <t>GLOBAL_CHECK, STOCKS_EXIT</t>
        </is>
      </c>
      <c r="G354" s="0" t="inlineStr">
        <is>
          <t>MTF_GR_MIN_IND</t>
        </is>
      </c>
      <c r="H354" s="0" t="inlineStr">
        <is>
          <t>GENERAL</t>
        </is>
      </c>
      <c r="I354" s="0" t="inlineStr">
        <is>
          <t>LIVE — wired</t>
        </is>
      </c>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0" t="n">
        <v>99</v>
      </c>
      <c r="B355" s="0" t="inlineStr">
        <is>
          <t>MTF_GR_MIN_IND</t>
        </is>
      </c>
      <c r="C355" s="0" t="inlineStr">
        <is>
          <t>5_ALT</t>
        </is>
      </c>
      <c r="D355" s="0" t="inlineStr">
        <is>
          <t>Threshold/gate: MTF_GR_MIN_IND — _FILTER_HEDGE_GATE_ENABLED', 'LH_HL_FILTER_MODE', 'LH_HL_FILTER_REQUIRE_BOTH', 'LH_HL_FILTER_TF_REQ', 'LIVE_ENTRY_ENGINE | ex: `_FILTER_HEDGE_GATE_ENABLED', 'LH_HL_FILTER_MODE', 'LH_HL_FILTER_REQUIRE_BOTH', '`</t>
        </is>
      </c>
      <c r="E355" s="0" t="inlineStr">
        <is>
          <t>GLOBAL_CHECK, STOCKS_EXIT</t>
        </is>
      </c>
      <c r="F355" s="0" t="inlineStr">
        <is>
          <t>GLOBAL_CHECK, STOCKS_EXIT</t>
        </is>
      </c>
      <c r="G355" s="0" t="inlineStr">
        <is>
          <t>MTF_GR_MIN_IND</t>
        </is>
      </c>
      <c r="H355" s="0" t="inlineStr">
        <is>
          <t>GENERAL</t>
        </is>
      </c>
      <c r="I355" s="0" t="inlineStr">
        <is>
          <t>LIVE — wired</t>
        </is>
      </c>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0" t="n">
        <v>100</v>
      </c>
      <c r="B356" s="0" t="inlineStr">
        <is>
          <t>MTS_BOTTOM_BONUS_THRESHOLD</t>
        </is>
      </c>
      <c r="C356" s="0" t="inlineStr">
        <is>
          <t>25</t>
        </is>
      </c>
      <c r="D356" s="0" t="inlineStr">
        <is>
          <t>MTS bottom bonus threshold. | Live read: `F_REGIME_SIZE_CAP', 'HTF_REGIME_TF', 'HTF_REGIME_VOL_TARGET', 'HTF_TREND_VETO_BY`</t>
        </is>
      </c>
      <c r="E356" s="0" t="inlineStr">
        <is>
          <t>ENTRY, GLOBAL_CHECK, STOCKS_EXIT</t>
        </is>
      </c>
      <c r="F356" s="0" t="inlineStr">
        <is>
          <t>ENTRY, GLOBAL_CHECK, STOCKS_EXIT</t>
        </is>
      </c>
      <c r="G356" s="0" t="inlineStr">
        <is>
          <t>MTS_BOTTOM_BONUS_THRESHOLD</t>
        </is>
      </c>
      <c r="H356" s="0" t="inlineStr">
        <is>
          <t>GENERAL</t>
        </is>
      </c>
      <c r="I356" s="0" t="inlineStr">
        <is>
          <t>LIVE — wired</t>
        </is>
      </c>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0" t="n">
        <v>100</v>
      </c>
      <c r="B357" s="0" t="inlineStr">
        <is>
          <t>MTS_BOTTOM_BONUS_THRESHOLD</t>
        </is>
      </c>
      <c r="C357" s="0" t="inlineStr">
        <is>
          <t>31.25</t>
        </is>
      </c>
      <c r="D357" s="0" t="inlineStr">
        <is>
          <t>MTS bottom bonus threshold. | Live read: `F_REGIME_SIZE_CAP', 'HTF_REGIME_TF', 'HTF_REGIME_VOL_TARGET', 'HTF_TREND_VETO_BY`</t>
        </is>
      </c>
      <c r="E357" s="0" t="inlineStr">
        <is>
          <t>ENTRY, GLOBAL_CHECK, STOCKS_EXIT</t>
        </is>
      </c>
      <c r="F357" s="0" t="inlineStr">
        <is>
          <t>ENTRY, GLOBAL_CHECK, STOCKS_EXIT</t>
        </is>
      </c>
      <c r="G357" s="0" t="inlineStr">
        <is>
          <t>MTS_BOTTOM_BONUS_THRESHOLD</t>
        </is>
      </c>
      <c r="H357" s="0" t="inlineStr">
        <is>
          <t>GENERAL</t>
        </is>
      </c>
      <c r="I357" s="0" t="inlineStr">
        <is>
          <t>LIVE — wired</t>
        </is>
      </c>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0" t="n">
        <v>100</v>
      </c>
      <c r="B358" s="0" t="inlineStr">
        <is>
          <t>MTS_BOTTOM_BONUS_THRESHOLD</t>
        </is>
      </c>
      <c r="C358" s="0" t="inlineStr">
        <is>
          <t>18.75</t>
        </is>
      </c>
      <c r="D358" s="0" t="inlineStr">
        <is>
          <t>MTS bottom bonus threshold. | Live read: `F_REGIME_SIZE_CAP', 'HTF_REGIME_TF', 'HTF_REGIME_VOL_TARGET', 'HTF_TREND_VETO_BY`</t>
        </is>
      </c>
      <c r="E358" s="0" t="inlineStr">
        <is>
          <t>ENTRY, GLOBAL_CHECK, STOCKS_EXIT</t>
        </is>
      </c>
      <c r="F358" s="0" t="inlineStr">
        <is>
          <t>ENTRY, GLOBAL_CHECK, STOCKS_EXIT</t>
        </is>
      </c>
      <c r="G358" s="0" t="inlineStr">
        <is>
          <t>MTS_BOTTOM_BONUS_THRESHOLD</t>
        </is>
      </c>
      <c r="H358" s="0" t="inlineStr">
        <is>
          <t>GENERAL</t>
        </is>
      </c>
      <c r="I358" s="0" t="inlineStr">
        <is>
          <t>LIVE — wired</t>
        </is>
      </c>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0" t="n">
        <v>100</v>
      </c>
      <c r="B359" s="0" t="inlineStr">
        <is>
          <t>MTS_BOTTOM_BONUS_THRESHOLD</t>
        </is>
      </c>
      <c r="C359" s="0" t="inlineStr">
        <is>
          <t>12.5</t>
        </is>
      </c>
      <c r="D359" s="0" t="inlineStr">
        <is>
          <t>MTS bottom bonus threshold. | Live read: `F_REGIME_SIZE_CAP', 'HTF_REGIME_TF', 'HTF_REGIME_VOL_TARGET', 'HTF_TREND_VETO_BY`</t>
        </is>
      </c>
      <c r="E359" s="0" t="inlineStr">
        <is>
          <t>ENTRY, GLOBAL_CHECK, STOCKS_EXIT</t>
        </is>
      </c>
      <c r="F359" s="0" t="inlineStr">
        <is>
          <t>ENTRY, GLOBAL_CHECK, STOCKS_EXIT</t>
        </is>
      </c>
      <c r="G359" s="0" t="inlineStr">
        <is>
          <t>MTS_BOTTOM_BONUS_THRESHOLD</t>
        </is>
      </c>
      <c r="H359" s="0" t="inlineStr">
        <is>
          <t>GENERAL</t>
        </is>
      </c>
      <c r="I359" s="0" t="inlineStr">
        <is>
          <t>LIVE — wired</t>
        </is>
      </c>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0" t="n">
        <v>101</v>
      </c>
      <c r="B360" s="0" t="inlineStr">
        <is>
          <t>MTS_BOTTOM_STRONG_THRESHOLD</t>
        </is>
      </c>
      <c r="C360" s="0" t="inlineStr">
        <is>
          <t>40</t>
        </is>
      </c>
      <c r="D360" s="0" t="inlineStr">
        <is>
          <t>Threshold/gate: MTS_BOTTOM_STRONG_THRESHOLD — E_TF', 'HTF_REGIME_VOL_TARGET', 'HTF_TREND_VETO_BYPASS_ENABLED', 'HTF_TREND_VETO_BYPASS_REASONS', 'HTF_W_M_ALIGN_GATE',  | ex: `E_TF', 'HTF_REGIME_VOL_TARGET', 'HTF_TREND_VETO_BYPASS_ENABLED', 'HTF_TREND_VETO`</t>
        </is>
      </c>
      <c r="E360" s="0" t="inlineStr">
        <is>
          <t>ENTRY, GLOBAL_CHECK, STOCKS_EXIT</t>
        </is>
      </c>
      <c r="F360" s="0" t="inlineStr">
        <is>
          <t>ENTRY, GLOBAL_CHECK, STOCKS_EXIT</t>
        </is>
      </c>
      <c r="G360" s="0" t="inlineStr">
        <is>
          <t>MTS_BOTTOM_STRONG_THRESHOLD</t>
        </is>
      </c>
      <c r="H360" s="0" t="inlineStr">
        <is>
          <t>GENERAL</t>
        </is>
      </c>
      <c r="I360" s="0" t="inlineStr">
        <is>
          <t>LIVE — wired</t>
        </is>
      </c>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0" t="n">
        <v>101</v>
      </c>
      <c r="B361" s="0" t="inlineStr">
        <is>
          <t>MTS_BOTTOM_STRONG_THRESHOLD</t>
        </is>
      </c>
      <c r="C361" s="0" t="inlineStr">
        <is>
          <t>50</t>
        </is>
      </c>
      <c r="D361" s="0" t="inlineStr">
        <is>
          <t>Threshold/gate: MTS_BOTTOM_STRONG_THRESHOLD — E_TF', 'HTF_REGIME_VOL_TARGET', 'HTF_TREND_VETO_BYPASS_ENABLED', 'HTF_TREND_VETO_BYPASS_REASONS', 'HTF_W_M_ALIGN_GATE',  | ex: `E_TF', 'HTF_REGIME_VOL_TARGET', 'HTF_TREND_VETO_BYPASS_ENABLED', 'HTF_TREND_VETO`</t>
        </is>
      </c>
      <c r="E361" s="0" t="inlineStr">
        <is>
          <t>ENTRY, GLOBAL_CHECK, STOCKS_EXIT</t>
        </is>
      </c>
      <c r="F361" s="0" t="inlineStr">
        <is>
          <t>ENTRY, GLOBAL_CHECK, STOCKS_EXIT</t>
        </is>
      </c>
      <c r="G361" s="0" t="inlineStr">
        <is>
          <t>MTS_BOTTOM_STRONG_THRESHOLD</t>
        </is>
      </c>
      <c r="H361" s="0" t="inlineStr">
        <is>
          <t>GENERAL</t>
        </is>
      </c>
      <c r="I361" s="0" t="inlineStr">
        <is>
          <t>LIVE — wired</t>
        </is>
      </c>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0" t="n">
        <v>101</v>
      </c>
      <c r="B362" s="0" t="inlineStr">
        <is>
          <t>MTS_BOTTOM_STRONG_THRESHOLD</t>
        </is>
      </c>
      <c r="C362" s="0" t="inlineStr">
        <is>
          <t>30</t>
        </is>
      </c>
      <c r="D362" s="0" t="inlineStr">
        <is>
          <t>Threshold/gate: MTS_BOTTOM_STRONG_THRESHOLD — E_TF', 'HTF_REGIME_VOL_TARGET', 'HTF_TREND_VETO_BYPASS_ENABLED', 'HTF_TREND_VETO_BYPASS_REASONS', 'HTF_W_M_ALIGN_GATE',  | ex: `E_TF', 'HTF_REGIME_VOL_TARGET', 'HTF_TREND_VETO_BYPASS_ENABLED', 'HTF_TREND_VETO`</t>
        </is>
      </c>
      <c r="E362" s="0" t="inlineStr">
        <is>
          <t>ENTRY, GLOBAL_CHECK, STOCKS_EXIT</t>
        </is>
      </c>
      <c r="F362" s="0" t="inlineStr">
        <is>
          <t>ENTRY, GLOBAL_CHECK, STOCKS_EXIT</t>
        </is>
      </c>
      <c r="G362" s="0" t="inlineStr">
        <is>
          <t>MTS_BOTTOM_STRONG_THRESHOLD</t>
        </is>
      </c>
      <c r="H362" s="0" t="inlineStr">
        <is>
          <t>GENERAL</t>
        </is>
      </c>
      <c r="I362" s="0" t="inlineStr">
        <is>
          <t>LIVE — wired</t>
        </is>
      </c>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0" t="n">
        <v>101</v>
      </c>
      <c r="B363" s="0" t="inlineStr">
        <is>
          <t>MTS_BOTTOM_STRONG_THRESHOLD</t>
        </is>
      </c>
      <c r="C363" s="0" t="inlineStr">
        <is>
          <t>20</t>
        </is>
      </c>
      <c r="D363" s="0" t="inlineStr">
        <is>
          <t>Threshold/gate: MTS_BOTTOM_STRONG_THRESHOLD — E_TF', 'HTF_REGIME_VOL_TARGET', 'HTF_TREND_VETO_BYPASS_ENABLED', 'HTF_TREND_VETO_BYPASS_REASONS', 'HTF_W_M_ALIGN_GATE',  | ex: `E_TF', 'HTF_REGIME_VOL_TARGET', 'HTF_TREND_VETO_BYPASS_ENABLED', 'HTF_TREND_VETO`</t>
        </is>
      </c>
      <c r="E363" s="0" t="inlineStr">
        <is>
          <t>ENTRY, GLOBAL_CHECK, STOCKS_EXIT</t>
        </is>
      </c>
      <c r="F363" s="0" t="inlineStr">
        <is>
          <t>ENTRY, GLOBAL_CHECK, STOCKS_EXIT</t>
        </is>
      </c>
      <c r="G363" s="0" t="inlineStr">
        <is>
          <t>MTS_BOTTOM_STRONG_THRESHOLD</t>
        </is>
      </c>
      <c r="H363" s="0" t="inlineStr">
        <is>
          <t>GENERAL</t>
        </is>
      </c>
      <c r="I363" s="0" t="inlineStr">
        <is>
          <t>LIVE — wired</t>
        </is>
      </c>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0" t="n">
        <v>102</v>
      </c>
      <c r="B364" s="0" t="inlineStr">
        <is>
          <t>MTS_GATE_ENABLED</t>
        </is>
      </c>
      <c r="C364" s="0" t="inlineStr">
        <is>
          <t>False</t>
        </is>
      </c>
      <c r="D364" s="0" t="inlineStr">
        <is>
          <t>MTS (Mayer) gate enabled. | Live read: `'HTF_TREND_VETO_BYPASS_ENABLED', 'HTF_TREND_VETO_BYPASS_REASONS', 'HTF_W_M_ALIGN`</t>
        </is>
      </c>
      <c r="E364" s="0" t="inlineStr">
        <is>
          <t>ENTRY, GLOBAL_CHECK, STOCKS_EXIT</t>
        </is>
      </c>
      <c r="F364" s="0" t="inlineStr">
        <is>
          <t>ENTRY, GLOBAL_CHECK, STOCKS_EXIT</t>
        </is>
      </c>
      <c r="G364" s="0" t="inlineStr">
        <is>
          <t>MTS_GATE_ENABLED</t>
        </is>
      </c>
      <c r="H364" s="0" t="inlineStr">
        <is>
          <t>GENERAL</t>
        </is>
      </c>
      <c r="I364" s="0" t="inlineStr">
        <is>
          <t>LIVE — wired</t>
        </is>
      </c>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0" t="n">
        <v>102</v>
      </c>
      <c r="B365" s="0" t="inlineStr">
        <is>
          <t>MTS_GATE_ENABLED</t>
        </is>
      </c>
      <c r="C365" s="0" t="inlineStr">
        <is>
          <t>True</t>
        </is>
      </c>
      <c r="D365" s="0" t="inlineStr">
        <is>
          <t>MTS (Mayer) gate enabled. | Live read: `'HTF_TREND_VETO_BYPASS_ENABLED', 'HTF_TREND_VETO_BYPASS_REASONS', 'HTF_W_M_ALIGN`</t>
        </is>
      </c>
      <c r="E365" s="0" t="inlineStr">
        <is>
          <t>ENTRY, GLOBAL_CHECK, STOCKS_EXIT</t>
        </is>
      </c>
      <c r="F365" s="0" t="inlineStr">
        <is>
          <t>ENTRY, GLOBAL_CHECK, STOCKS_EXIT</t>
        </is>
      </c>
      <c r="G365" s="0" t="inlineStr">
        <is>
          <t>MTS_GATE_ENABLED</t>
        </is>
      </c>
      <c r="H365" s="0" t="inlineStr">
        <is>
          <t>GENERAL</t>
        </is>
      </c>
      <c r="I365" s="0" t="inlineStr">
        <is>
          <t>LIVE — wired</t>
        </is>
      </c>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0" t="n">
        <v>103</v>
      </c>
      <c r="B366" s="0" t="inlineStr">
        <is>
          <t>NEWBORN_LOSS_KILL_FILTER_TF</t>
        </is>
      </c>
      <c r="C366" s="0" t="inlineStr">
        <is>
          <t>OFF</t>
        </is>
      </c>
      <c r="D366" s="0" t="inlineStr">
        <is>
          <t>Kills newborn losers when velocity confirms against on FILTER_TF. | Live read: `ASS_ENABLED', 'HTF_TREND_VETO_BYPASS_REASONS', 'HTF_W_M_ALIGN_GATE', 'LEADERBOAR`</t>
        </is>
      </c>
      <c r="E366" s="0" t="inlineStr">
        <is>
          <t>GLOBAL_CHECK</t>
        </is>
      </c>
      <c r="F366" s="0" t="inlineStr">
        <is>
          <t>GLOBAL_CHECK</t>
        </is>
      </c>
      <c r="G366" s="0" t="inlineStr">
        <is>
          <t>NEWBORN_LOSS_KILL</t>
        </is>
      </c>
      <c r="H366" s="0" t="inlineStr">
        <is>
          <t>SPECIFIC — only gated switches</t>
        </is>
      </c>
      <c r="I366" s="0" t="inlineStr">
        <is>
          <t>LIVE — wired</t>
        </is>
      </c>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0" t="n">
        <v>103</v>
      </c>
      <c r="B367" s="0" t="inlineStr">
        <is>
          <t>NEWBORN_LOSS_KILL_FILTER_TF</t>
        </is>
      </c>
      <c r="C367" s="0" t="inlineStr">
        <is>
          <t>D</t>
        </is>
      </c>
      <c r="D367" s="0" t="inlineStr">
        <is>
          <t>Kills newborn losers when velocity confirms against on FILTER_TF. | Live read: `ASS_ENABLED', 'HTF_TREND_VETO_BYPASS_REASONS', 'HTF_W_M_ALIGN_GATE', 'LEADERBOAR`</t>
        </is>
      </c>
      <c r="E367" s="0" t="inlineStr">
        <is>
          <t>GLOBAL_CHECK</t>
        </is>
      </c>
      <c r="F367" s="0" t="inlineStr">
        <is>
          <t>GLOBAL_CHECK</t>
        </is>
      </c>
      <c r="G367" s="0" t="inlineStr">
        <is>
          <t>NEWBORN_LOSS_KILL</t>
        </is>
      </c>
      <c r="H367" s="0" t="inlineStr">
        <is>
          <t>SPECIFIC — only gated switches</t>
        </is>
      </c>
      <c r="I367" s="0" t="inlineStr">
        <is>
          <t>LIVE — wired</t>
        </is>
      </c>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0" t="n">
        <v>103</v>
      </c>
      <c r="B368" s="0" t="inlineStr">
        <is>
          <t>NEWBORN_LOSS_KILL_FILTER_TF</t>
        </is>
      </c>
      <c r="C368" s="0" t="inlineStr">
        <is>
          <t>4h</t>
        </is>
      </c>
      <c r="D368" s="0" t="inlineStr">
        <is>
          <t>Kills newborn losers when velocity confirms against on FILTER_TF. | Live read: `ASS_ENABLED', 'HTF_TREND_VETO_BYPASS_REASONS', 'HTF_W_M_ALIGN_GATE', 'LEADERBOAR`</t>
        </is>
      </c>
      <c r="E368" s="0" t="inlineStr">
        <is>
          <t>GLOBAL_CHECK</t>
        </is>
      </c>
      <c r="F368" s="0" t="inlineStr">
        <is>
          <t>GLOBAL_CHECK</t>
        </is>
      </c>
      <c r="G368" s="0" t="inlineStr">
        <is>
          <t>NEWBORN_LOSS_KILL</t>
        </is>
      </c>
      <c r="H368" s="0" t="inlineStr">
        <is>
          <t>SPECIFIC — only gated switches</t>
        </is>
      </c>
      <c r="I368" s="0" t="inlineStr">
        <is>
          <t>LIVE — wired</t>
        </is>
      </c>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0" t="n">
        <v>103</v>
      </c>
      <c r="B369" s="0" t="inlineStr">
        <is>
          <t>NEWBORN_LOSS_KILL_FILTER_TF</t>
        </is>
      </c>
      <c r="C369" s="0" t="inlineStr">
        <is>
          <t>1h</t>
        </is>
      </c>
      <c r="D369" s="0" t="inlineStr">
        <is>
          <t>Kills newborn losers when velocity confirms against on FILTER_TF. | Live read: `ASS_ENABLED', 'HTF_TREND_VETO_BYPASS_REASONS', 'HTF_W_M_ALIGN_GATE', 'LEADERBOAR`</t>
        </is>
      </c>
      <c r="E369" s="0" t="inlineStr">
        <is>
          <t>GLOBAL_CHECK</t>
        </is>
      </c>
      <c r="F369" s="0" t="inlineStr">
        <is>
          <t>GLOBAL_CHECK</t>
        </is>
      </c>
      <c r="G369" s="0" t="inlineStr">
        <is>
          <t>NEWBORN_LOSS_KILL</t>
        </is>
      </c>
      <c r="H369" s="0" t="inlineStr">
        <is>
          <t>SPECIFIC — only gated switches</t>
        </is>
      </c>
      <c r="I369" s="0" t="inlineStr">
        <is>
          <t>LIVE — wired</t>
        </is>
      </c>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0" t="n">
        <v>103</v>
      </c>
      <c r="B370" s="0" t="inlineStr">
        <is>
          <t>NEWBORN_LOSS_KILL_FILTER_TF</t>
        </is>
      </c>
      <c r="C370" s="0" t="inlineStr">
        <is>
          <t>15m</t>
        </is>
      </c>
      <c r="D370" s="0" t="inlineStr">
        <is>
          <t>Kills newborn losers when velocity confirms against on FILTER_TF. | Live read: `ASS_ENABLED', 'HTF_TREND_VETO_BYPASS_REASONS', 'HTF_W_M_ALIGN_GATE', 'LEADERBOAR`</t>
        </is>
      </c>
      <c r="E370" s="0" t="inlineStr">
        <is>
          <t>GLOBAL_CHECK</t>
        </is>
      </c>
      <c r="F370" s="0" t="inlineStr">
        <is>
          <t>GLOBAL_CHECK</t>
        </is>
      </c>
      <c r="G370" s="0" t="inlineStr">
        <is>
          <t>NEWBORN_LOSS_KILL</t>
        </is>
      </c>
      <c r="H370" s="0" t="inlineStr">
        <is>
          <t>SPECIFIC — only gated switches</t>
        </is>
      </c>
      <c r="I370" s="0" t="inlineStr">
        <is>
          <t>LIVE — wired</t>
        </is>
      </c>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0" t="n">
        <v>104</v>
      </c>
      <c r="B371" s="0" t="inlineStr">
        <is>
          <t>NEWBORN_LOSS_KILL_GAIN_THRESHOLD_PCT</t>
        </is>
      </c>
      <c r="C371" s="0" t="inlineStr">
        <is>
          <t>0</t>
        </is>
      </c>
      <c r="D371" s="0" t="inlineStr">
        <is>
          <t>Threshold/gate: NEWBORN_LOSS_KILL_GAIN_THRESHOLD_PCT — _PCT', 'MANDATORY_HEDGE_HARD_THRESHOLD_PCT', 'MANDATORY_HEDGE_ON_NEGATIVE_ENABLED', 'MIN_TFS_AGREE_EXIT', 'MI_DIV_EXIT_E | ex: `_PCT', 'MANDATORY_HEDGE_HARD_THRESHOLD_PCT', 'MANDATORY_HEDGE_ON_NEGATIVE_ENABLE`</t>
        </is>
      </c>
      <c r="E371" s="0" t="inlineStr">
        <is>
          <t>AUGMENT, EXIT, GLOBAL_CHECK, REDUCE, STOCKS_EXIT</t>
        </is>
      </c>
      <c r="F371" s="0" t="inlineStr">
        <is>
          <t>AUGMENT, EXIT, GLOBAL_CHECK, REDUCE, STOCKS_EXIT</t>
        </is>
      </c>
      <c r="G371" s="0" t="inlineStr">
        <is>
          <t>NEWBORN_LOSS_KILL_GAIN_THRESHOLD</t>
        </is>
      </c>
      <c r="H371" s="0" t="inlineStr">
        <is>
          <t>GENERAL</t>
        </is>
      </c>
      <c r="I371" s="0" t="inlineStr">
        <is>
          <t>LIVE — wired</t>
        </is>
      </c>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0" t="n">
        <v>104</v>
      </c>
      <c r="B372" s="0" t="inlineStr">
        <is>
          <t>NEWBORN_LOSS_KILL_GAIN_THRESHOLD_PCT</t>
        </is>
      </c>
      <c r="C372" s="0" t="inlineStr">
        <is>
          <t>2.0</t>
        </is>
      </c>
      <c r="D372" s="0" t="inlineStr">
        <is>
          <t>Threshold/gate: NEWBORN_LOSS_KILL_GAIN_THRESHOLD_PCT — _PCT', 'MANDATORY_HEDGE_HARD_THRESHOLD_PCT', 'MANDATORY_HEDGE_ON_NEGATIVE_ENABLED', 'MIN_TFS_AGREE_EXIT', 'MI_DIV_EXIT_E | ex: `_PCT', 'MANDATORY_HEDGE_HARD_THRESHOLD_PCT', 'MANDATORY_HEDGE_ON_NEGATIVE_ENABLE`</t>
        </is>
      </c>
      <c r="E372" s="0" t="inlineStr">
        <is>
          <t>AUGMENT, EXIT, GLOBAL_CHECK, REDUCE, STOCKS_EXIT</t>
        </is>
      </c>
      <c r="F372" s="0" t="inlineStr">
        <is>
          <t>AUGMENT, EXIT, GLOBAL_CHECK, REDUCE, STOCKS_EXIT</t>
        </is>
      </c>
      <c r="G372" s="0" t="inlineStr">
        <is>
          <t>NEWBORN_LOSS_KILL_GAIN_THRESHOLD</t>
        </is>
      </c>
      <c r="H372" s="0" t="inlineStr">
        <is>
          <t>GENERAL</t>
        </is>
      </c>
      <c r="I372" s="0" t="inlineStr">
        <is>
          <t>LIVE — wired</t>
        </is>
      </c>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0" t="n">
        <v>104</v>
      </c>
      <c r="B373" s="0" t="inlineStr">
        <is>
          <t>NEWBORN_LOSS_KILL_GAIN_THRESHOLD_PCT</t>
        </is>
      </c>
      <c r="C373" s="0" t="inlineStr">
        <is>
          <t>1.0</t>
        </is>
      </c>
      <c r="D373" s="0" t="inlineStr">
        <is>
          <t>Threshold/gate: NEWBORN_LOSS_KILL_GAIN_THRESHOLD_PCT — _PCT', 'MANDATORY_HEDGE_HARD_THRESHOLD_PCT', 'MANDATORY_HEDGE_ON_NEGATIVE_ENABLED', 'MIN_TFS_AGREE_EXIT', 'MI_DIV_EXIT_E | ex: `_PCT', 'MANDATORY_HEDGE_HARD_THRESHOLD_PCT', 'MANDATORY_HEDGE_ON_NEGATIVE_ENABLE`</t>
        </is>
      </c>
      <c r="E373" s="0" t="inlineStr">
        <is>
          <t>AUGMENT, EXIT, GLOBAL_CHECK, REDUCE, STOCKS_EXIT</t>
        </is>
      </c>
      <c r="F373" s="0" t="inlineStr">
        <is>
          <t>AUGMENT, EXIT, GLOBAL_CHECK, REDUCE, STOCKS_EXIT</t>
        </is>
      </c>
      <c r="G373" s="0" t="inlineStr">
        <is>
          <t>NEWBORN_LOSS_KILL_GAIN_THRESHOLD</t>
        </is>
      </c>
      <c r="H373" s="0" t="inlineStr">
        <is>
          <t>GENERAL</t>
        </is>
      </c>
      <c r="I373" s="0" t="inlineStr">
        <is>
          <t>LIVE — wired</t>
        </is>
      </c>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0" t="n">
        <v>104</v>
      </c>
      <c r="B374" s="0" t="inlineStr">
        <is>
          <t>NEWBORN_LOSS_KILL_GAIN_THRESHOLD_PCT</t>
        </is>
      </c>
      <c r="C374" s="0" t="inlineStr">
        <is>
          <t>0.5</t>
        </is>
      </c>
      <c r="D374" s="0" t="inlineStr">
        <is>
          <t>Threshold/gate: NEWBORN_LOSS_KILL_GAIN_THRESHOLD_PCT — _PCT', 'MANDATORY_HEDGE_HARD_THRESHOLD_PCT', 'MANDATORY_HEDGE_ON_NEGATIVE_ENABLED', 'MIN_TFS_AGREE_EXIT', 'MI_DIV_EXIT_E | ex: `_PCT', 'MANDATORY_HEDGE_HARD_THRESHOLD_PCT', 'MANDATORY_HEDGE_ON_NEGATIVE_ENABLE`</t>
        </is>
      </c>
      <c r="E374" s="0" t="inlineStr">
        <is>
          <t>AUGMENT, EXIT, GLOBAL_CHECK, REDUCE, STOCKS_EXIT</t>
        </is>
      </c>
      <c r="F374" s="0" t="inlineStr">
        <is>
          <t>AUGMENT, EXIT, GLOBAL_CHECK, REDUCE, STOCKS_EXIT</t>
        </is>
      </c>
      <c r="G374" s="0" t="inlineStr">
        <is>
          <t>NEWBORN_LOSS_KILL_GAIN_THRESHOLD</t>
        </is>
      </c>
      <c r="H374" s="0" t="inlineStr">
        <is>
          <t>GENERAL</t>
        </is>
      </c>
      <c r="I374" s="0" t="inlineStr">
        <is>
          <t>LIVE — wired</t>
        </is>
      </c>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0" t="n">
        <v>105</v>
      </c>
      <c r="B375" s="0" t="inlineStr">
        <is>
          <t>NEWBORN_LOSS_KILL_REQUIRE_VEL_AGAINST</t>
        </is>
      </c>
      <c r="C375" s="0" t="inlineStr">
        <is>
          <t>0.0</t>
        </is>
      </c>
      <c r="D375" s="0" t="inlineStr">
        <is>
          <t>Threshold/gate: NEWBORN_LOSS_KILL_REQUIRE_VEL_AGAINST — CT', 'MANDATORY_HEDGE_ON_NEGATIVE_ENABLED', 'MIN_TFS_AGREE_EXIT', 'MI_DIV_EXIT_ENABLED', 'MI_EXHAUST_EXIT_ENABLED', 'MI_ | ex: `CT', 'MANDATORY_HEDGE_ON_NEGATIVE_ENABLED', 'MIN_TFS_AGREE_EXIT', 'MI_DIV_EXIT_E`</t>
        </is>
      </c>
      <c r="E375" s="0" t="inlineStr">
        <is>
          <t>AUGMENT, EXIT, GLOBAL_CHECK, REDUCE, STOCKS_EXIT</t>
        </is>
      </c>
      <c r="F375" s="0" t="inlineStr">
        <is>
          <t>AUGMENT, EXIT, GLOBAL_CHECK, REDUCE, STOCKS_EXIT</t>
        </is>
      </c>
      <c r="G375" s="0" t="inlineStr">
        <is>
          <t>NEWBORN_LOSS_KILL_REQUIRE_VEL_AG</t>
        </is>
      </c>
      <c r="H375" s="0" t="inlineStr">
        <is>
          <t>GENERAL</t>
        </is>
      </c>
      <c r="I375" s="0" t="inlineStr">
        <is>
          <t>LIVE — wired</t>
        </is>
      </c>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0" t="n">
        <v>105</v>
      </c>
      <c r="B376" s="0" t="inlineStr">
        <is>
          <t>NEWBORN_LOSS_KILL_REQUIRE_VEL_AGAINST</t>
        </is>
      </c>
      <c r="C376" s="0" t="inlineStr">
        <is>
          <t>0.0_ALT</t>
        </is>
      </c>
      <c r="D376" s="0" t="inlineStr">
        <is>
          <t>Threshold/gate: NEWBORN_LOSS_KILL_REQUIRE_VEL_AGAINST — CT', 'MANDATORY_HEDGE_ON_NEGATIVE_ENABLED', 'MIN_TFS_AGREE_EXIT', 'MI_DIV_EXIT_ENABLED', 'MI_EXHAUST_EXIT_ENABLED', 'MI_ | ex: `CT', 'MANDATORY_HEDGE_ON_NEGATIVE_ENABLED', 'MIN_TFS_AGREE_EXIT', 'MI_DIV_EXIT_E`</t>
        </is>
      </c>
      <c r="E376" s="0" t="inlineStr">
        <is>
          <t>AUGMENT, EXIT, GLOBAL_CHECK, REDUCE, STOCKS_EXIT</t>
        </is>
      </c>
      <c r="F376" s="0" t="inlineStr">
        <is>
          <t>AUGMENT, EXIT, GLOBAL_CHECK, REDUCE, STOCKS_EXIT</t>
        </is>
      </c>
      <c r="G376" s="0" t="inlineStr">
        <is>
          <t>NEWBORN_LOSS_KILL_REQUIRE_VEL_AG</t>
        </is>
      </c>
      <c r="H376" s="0" t="inlineStr">
        <is>
          <t>GENERAL</t>
        </is>
      </c>
      <c r="I376" s="0" t="inlineStr">
        <is>
          <t>LIVE — wired</t>
        </is>
      </c>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0" t="n">
        <v>106</v>
      </c>
      <c r="B377" s="0" t="inlineStr">
        <is>
          <t>NEWBORN_PROTECT_FILTER_TF</t>
        </is>
      </c>
      <c r="C377" s="0" t="inlineStr">
        <is>
          <t>OFF</t>
        </is>
      </c>
      <c r="D377"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0" t="inlineStr">
        <is>
          <t>GLOBAL_CHECK</t>
        </is>
      </c>
      <c r="F377" s="0" t="inlineStr">
        <is>
          <t>GLOBAL_CHECK</t>
        </is>
      </c>
      <c r="G377" s="0" t="inlineStr">
        <is>
          <t>NEWBORN_PROTECT</t>
        </is>
      </c>
      <c r="H377" s="0" t="inlineStr">
        <is>
          <t>SPECIFIC — only gated switches</t>
        </is>
      </c>
      <c r="I377" s="0" t="inlineStr">
        <is>
          <t>LIVE — wired</t>
        </is>
      </c>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0" t="n">
        <v>106</v>
      </c>
      <c r="B378" s="0" t="inlineStr">
        <is>
          <t>NEWBORN_PROTECT_FILTER_TF</t>
        </is>
      </c>
      <c r="C378" s="0" t="inlineStr">
        <is>
          <t>D</t>
        </is>
      </c>
      <c r="D378"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0" t="inlineStr">
        <is>
          <t>GLOBAL_CHECK</t>
        </is>
      </c>
      <c r="F378" s="0" t="inlineStr">
        <is>
          <t>GLOBAL_CHECK</t>
        </is>
      </c>
      <c r="G378" s="0" t="inlineStr">
        <is>
          <t>NEWBORN_PROTECT</t>
        </is>
      </c>
      <c r="H378" s="0" t="inlineStr">
        <is>
          <t>SPECIFIC — only gated switches</t>
        </is>
      </c>
      <c r="I378" s="0" t="inlineStr">
        <is>
          <t>LIVE — wired</t>
        </is>
      </c>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0" t="n">
        <v>106</v>
      </c>
      <c r="B379" s="0" t="inlineStr">
        <is>
          <t>NEWBORN_PROTECT_FILTER_TF</t>
        </is>
      </c>
      <c r="C379" s="0" t="inlineStr">
        <is>
          <t>4h</t>
        </is>
      </c>
      <c r="D379"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0" t="inlineStr">
        <is>
          <t>GLOBAL_CHECK</t>
        </is>
      </c>
      <c r="F379" s="0" t="inlineStr">
        <is>
          <t>GLOBAL_CHECK</t>
        </is>
      </c>
      <c r="G379" s="0" t="inlineStr">
        <is>
          <t>NEWBORN_PROTECT</t>
        </is>
      </c>
      <c r="H379" s="0" t="inlineStr">
        <is>
          <t>SPECIFIC — only gated switches</t>
        </is>
      </c>
      <c r="I379" s="0" t="inlineStr">
        <is>
          <t>LIVE — wired</t>
        </is>
      </c>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0" t="n">
        <v>106</v>
      </c>
      <c r="B380" s="0" t="inlineStr">
        <is>
          <t>NEWBORN_PROTECT_FILTER_TF</t>
        </is>
      </c>
      <c r="C380" s="0" t="inlineStr">
        <is>
          <t>1h</t>
        </is>
      </c>
      <c r="D380"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0" t="inlineStr">
        <is>
          <t>GLOBAL_CHECK</t>
        </is>
      </c>
      <c r="F380" s="0" t="inlineStr">
        <is>
          <t>GLOBAL_CHECK</t>
        </is>
      </c>
      <c r="G380" s="0" t="inlineStr">
        <is>
          <t>NEWBORN_PROTECT</t>
        </is>
      </c>
      <c r="H380" s="0" t="inlineStr">
        <is>
          <t>SPECIFIC — only gated switches</t>
        </is>
      </c>
      <c r="I380" s="0" t="inlineStr">
        <is>
          <t>LIVE — wired</t>
        </is>
      </c>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0" t="n">
        <v>106</v>
      </c>
      <c r="B381" s="0" t="inlineStr">
        <is>
          <t>NEWBORN_PROTECT_FILTER_TF</t>
        </is>
      </c>
      <c r="C381" s="0" t="inlineStr">
        <is>
          <t>15m</t>
        </is>
      </c>
      <c r="D381"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0" t="inlineStr">
        <is>
          <t>GLOBAL_CHECK</t>
        </is>
      </c>
      <c r="F381" s="0" t="inlineStr">
        <is>
          <t>GLOBAL_CHECK</t>
        </is>
      </c>
      <c r="G381" s="0" t="inlineStr">
        <is>
          <t>NEWBORN_PROTECT</t>
        </is>
      </c>
      <c r="H381" s="0" t="inlineStr">
        <is>
          <t>SPECIFIC — only gated switches</t>
        </is>
      </c>
      <c r="I381" s="0" t="inlineStr">
        <is>
          <t>LIVE — wired</t>
        </is>
      </c>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0" t="n">
        <v>107</v>
      </c>
      <c r="B382" s="0" t="inlineStr">
        <is>
          <t>NEW_POSITION_MAX_LOSS_THRESHOLD</t>
        </is>
      </c>
      <c r="C382" s="0" t="inlineStr">
        <is>
          <t>0</t>
        </is>
      </c>
      <c r="D382" s="0" t="inlineStr">
        <is>
          <t>Threshold/gate: NEW_POSITION_MAX_LOSS_THRESHOLD — _EXHAUSTIVE_REDUCE_LIST_LIVE = ['DC_BREACH_REDUCE_ENABLED', 'DC_BREACH_REDUCE_FILTER_TF', 'DC_BREACH_REDUCE_MIN_TFS', 'D | ex: `_EXHAUSTIVE_REDUCE_LIST_LIVE = ['DC_BREACH_REDUCE_ENABLED', 'DC_BREACH_REDUCE_FI`</t>
        </is>
      </c>
      <c r="E382" s="0" t="inlineStr">
        <is>
          <t>AUGMENT, EXIT, GLOBAL_CHECK, REDUCE, STOCKS_EXIT</t>
        </is>
      </c>
      <c r="F382" s="0" t="inlineStr">
        <is>
          <t>AUGMENT, EXIT, GLOBAL_CHECK, REDUCE, STOCKS_EXIT</t>
        </is>
      </c>
      <c r="G382" s="0" t="inlineStr">
        <is>
          <t>NEW_POSITION_MAX_LOSS_THRESHOLD</t>
        </is>
      </c>
      <c r="H382" s="0" t="inlineStr">
        <is>
          <t>GENERAL</t>
        </is>
      </c>
      <c r="I382" s="0" t="inlineStr">
        <is>
          <t>LIVE — wired</t>
        </is>
      </c>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0" t="n">
        <v>107</v>
      </c>
      <c r="B383" s="0" t="inlineStr">
        <is>
          <t>NEW_POSITION_MAX_LOSS_THRESHOLD</t>
        </is>
      </c>
      <c r="C383" s="0" t="inlineStr">
        <is>
          <t>2.0</t>
        </is>
      </c>
      <c r="D383" s="0" t="inlineStr">
        <is>
          <t>Threshold/gate: NEW_POSITION_MAX_LOSS_THRESHOLD — _EXHAUSTIVE_REDUCE_LIST_LIVE = ['DC_BREACH_REDUCE_ENABLED', 'DC_BREACH_REDUCE_FILTER_TF', 'DC_BREACH_REDUCE_MIN_TFS', 'D | ex: `_EXHAUSTIVE_REDUCE_LIST_LIVE = ['DC_BREACH_REDUCE_ENABLED', 'DC_BREACH_REDUCE_FI`</t>
        </is>
      </c>
      <c r="E383" s="0" t="inlineStr">
        <is>
          <t>AUGMENT, EXIT, GLOBAL_CHECK, REDUCE, STOCKS_EXIT</t>
        </is>
      </c>
      <c r="F383" s="0" t="inlineStr">
        <is>
          <t>AUGMENT, EXIT, GLOBAL_CHECK, REDUCE, STOCKS_EXIT</t>
        </is>
      </c>
      <c r="G383" s="0" t="inlineStr">
        <is>
          <t>NEW_POSITION_MAX_LOSS_THRESHOLD</t>
        </is>
      </c>
      <c r="H383" s="0" t="inlineStr">
        <is>
          <t>GENERAL</t>
        </is>
      </c>
      <c r="I383" s="0" t="inlineStr">
        <is>
          <t>LIVE — wired</t>
        </is>
      </c>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0" t="n">
        <v>107</v>
      </c>
      <c r="B384" s="0" t="inlineStr">
        <is>
          <t>NEW_POSITION_MAX_LOSS_THRESHOLD</t>
        </is>
      </c>
      <c r="C384" s="0" t="inlineStr">
        <is>
          <t>1.0</t>
        </is>
      </c>
      <c r="D384" s="0" t="inlineStr">
        <is>
          <t>Threshold/gate: NEW_POSITION_MAX_LOSS_THRESHOLD — _EXHAUSTIVE_REDUCE_LIST_LIVE = ['DC_BREACH_REDUCE_ENABLED', 'DC_BREACH_REDUCE_FILTER_TF', 'DC_BREACH_REDUCE_MIN_TFS', 'D | ex: `_EXHAUSTIVE_REDUCE_LIST_LIVE = ['DC_BREACH_REDUCE_ENABLED', 'DC_BREACH_REDUCE_FI`</t>
        </is>
      </c>
      <c r="E384" s="0" t="inlineStr">
        <is>
          <t>AUGMENT, EXIT, GLOBAL_CHECK, REDUCE, STOCKS_EXIT</t>
        </is>
      </c>
      <c r="F384" s="0" t="inlineStr">
        <is>
          <t>AUGMENT, EXIT, GLOBAL_CHECK, REDUCE, STOCKS_EXIT</t>
        </is>
      </c>
      <c r="G384" s="0" t="inlineStr">
        <is>
          <t>NEW_POSITION_MAX_LOSS_THRESHOLD</t>
        </is>
      </c>
      <c r="H384" s="0" t="inlineStr">
        <is>
          <t>GENERAL</t>
        </is>
      </c>
      <c r="I384" s="0" t="inlineStr">
        <is>
          <t>LIVE — wired</t>
        </is>
      </c>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0" t="n">
        <v>107</v>
      </c>
      <c r="B385" s="0" t="inlineStr">
        <is>
          <t>NEW_POSITION_MAX_LOSS_THRESHOLD</t>
        </is>
      </c>
      <c r="C385" s="0" t="inlineStr">
        <is>
          <t>0.5</t>
        </is>
      </c>
      <c r="D385" s="0" t="inlineStr">
        <is>
          <t>Threshold/gate: NEW_POSITION_MAX_LOSS_THRESHOLD — _EXHAUSTIVE_REDUCE_LIST_LIVE = ['DC_BREACH_REDUCE_ENABLED', 'DC_BREACH_REDUCE_FILTER_TF', 'DC_BREACH_REDUCE_MIN_TFS', 'D | ex: `_EXHAUSTIVE_REDUCE_LIST_LIVE = ['DC_BREACH_REDUCE_ENABLED', 'DC_BREACH_REDUCE_FI`</t>
        </is>
      </c>
      <c r="E385" s="0" t="inlineStr">
        <is>
          <t>AUGMENT, EXIT, GLOBAL_CHECK, REDUCE, STOCKS_EXIT</t>
        </is>
      </c>
      <c r="F385" s="0" t="inlineStr">
        <is>
          <t>AUGMENT, EXIT, GLOBAL_CHECK, REDUCE, STOCKS_EXIT</t>
        </is>
      </c>
      <c r="G385" s="0" t="inlineStr">
        <is>
          <t>NEW_POSITION_MAX_LOSS_THRESHOLD</t>
        </is>
      </c>
      <c r="H385" s="0" t="inlineStr">
        <is>
          <t>GENERAL</t>
        </is>
      </c>
      <c r="I385" s="0" t="inlineStr">
        <is>
          <t>LIVE — wired</t>
        </is>
      </c>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0" t="n">
        <v>108</v>
      </c>
      <c r="B386" s="0" t="inlineStr">
        <is>
          <t>NOLOSS_BYPASS_WT5OF5_FILTER_TF</t>
        </is>
      </c>
      <c r="C386" s="0" t="inlineStr">
        <is>
          <t>OFF</t>
        </is>
      </c>
      <c r="D386" s="0" t="inlineStr">
        <is>
          <t>Bypasses no-loss gate when WT 5of5 confirms (all WT TFs). | Live read: `', 'MI_STRUCT_EXIT_ENABLED', 'MI_VELOCITY_EXIT_ENABLED', 'MI_WAVE_EXIT_ENABLED',`</t>
        </is>
      </c>
      <c r="E386" s="0" t="inlineStr">
        <is>
          <t>GLOBAL_CHECK</t>
        </is>
      </c>
      <c r="F386" s="0" t="inlineStr">
        <is>
          <t>GLOBAL_CHECK</t>
        </is>
      </c>
      <c r="G386" s="0" t="inlineStr">
        <is>
          <t>NOLOSS_BYPASS_WT5OF5</t>
        </is>
      </c>
      <c r="H386" s="0" t="inlineStr">
        <is>
          <t>SPECIFIC — only gated switches</t>
        </is>
      </c>
      <c r="I386" s="0" t="inlineStr">
        <is>
          <t>LIVE — wired</t>
        </is>
      </c>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0" t="n">
        <v>108</v>
      </c>
      <c r="B387" s="0" t="inlineStr">
        <is>
          <t>NOLOSS_BYPASS_WT5OF5_FILTER_TF</t>
        </is>
      </c>
      <c r="C387" s="0" t="inlineStr">
        <is>
          <t>D</t>
        </is>
      </c>
      <c r="D387" s="0" t="inlineStr">
        <is>
          <t>Bypasses no-loss gate when WT 5of5 confirms (all WT TFs). | Live read: `', 'MI_STRUCT_EXIT_ENABLED', 'MI_VELOCITY_EXIT_ENABLED', 'MI_WAVE_EXIT_ENABLED',`</t>
        </is>
      </c>
      <c r="E387" s="0" t="inlineStr">
        <is>
          <t>GLOBAL_CHECK</t>
        </is>
      </c>
      <c r="F387" s="0" t="inlineStr">
        <is>
          <t>GLOBAL_CHECK</t>
        </is>
      </c>
      <c r="G387" s="0" t="inlineStr">
        <is>
          <t>NOLOSS_BYPASS_WT5OF5</t>
        </is>
      </c>
      <c r="H387" s="0" t="inlineStr">
        <is>
          <t>SPECIFIC — only gated switches</t>
        </is>
      </c>
      <c r="I387" s="0" t="inlineStr">
        <is>
          <t>LIVE — wired</t>
        </is>
      </c>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0" t="n">
        <v>108</v>
      </c>
      <c r="B388" s="0" t="inlineStr">
        <is>
          <t>NOLOSS_BYPASS_WT5OF5_FILTER_TF</t>
        </is>
      </c>
      <c r="C388" s="0" t="inlineStr">
        <is>
          <t>4h</t>
        </is>
      </c>
      <c r="D388" s="0" t="inlineStr">
        <is>
          <t>Bypasses no-loss gate when WT 5of5 confirms (all WT TFs). | Live read: `', 'MI_STRUCT_EXIT_ENABLED', 'MI_VELOCITY_EXIT_ENABLED', 'MI_WAVE_EXIT_ENABLED',`</t>
        </is>
      </c>
      <c r="E388" s="0" t="inlineStr">
        <is>
          <t>GLOBAL_CHECK</t>
        </is>
      </c>
      <c r="F388" s="0" t="inlineStr">
        <is>
          <t>GLOBAL_CHECK</t>
        </is>
      </c>
      <c r="G388" s="0" t="inlineStr">
        <is>
          <t>NOLOSS_BYPASS_WT5OF5</t>
        </is>
      </c>
      <c r="H388" s="0" t="inlineStr">
        <is>
          <t>SPECIFIC — only gated switches</t>
        </is>
      </c>
      <c r="I388" s="0" t="inlineStr">
        <is>
          <t>LIVE — wired</t>
        </is>
      </c>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0" t="n">
        <v>108</v>
      </c>
      <c r="B389" s="0" t="inlineStr">
        <is>
          <t>NOLOSS_BYPASS_WT5OF5_FILTER_TF</t>
        </is>
      </c>
      <c r="C389" s="0" t="inlineStr">
        <is>
          <t>1h</t>
        </is>
      </c>
      <c r="D389" s="0" t="inlineStr">
        <is>
          <t>Bypasses no-loss gate when WT 5of5 confirms (all WT TFs). | Live read: `', 'MI_STRUCT_EXIT_ENABLED', 'MI_VELOCITY_EXIT_ENABLED', 'MI_WAVE_EXIT_ENABLED',`</t>
        </is>
      </c>
      <c r="E389" s="0" t="inlineStr">
        <is>
          <t>GLOBAL_CHECK</t>
        </is>
      </c>
      <c r="F389" s="0" t="inlineStr">
        <is>
          <t>GLOBAL_CHECK</t>
        </is>
      </c>
      <c r="G389" s="0" t="inlineStr">
        <is>
          <t>NOLOSS_BYPASS_WT5OF5</t>
        </is>
      </c>
      <c r="H389" s="0" t="inlineStr">
        <is>
          <t>SPECIFIC — only gated switches</t>
        </is>
      </c>
      <c r="I389" s="0" t="inlineStr">
        <is>
          <t>LIVE — wired</t>
        </is>
      </c>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0" t="n">
        <v>108</v>
      </c>
      <c r="B390" s="0" t="inlineStr">
        <is>
          <t>NOLOSS_BYPASS_WT5OF5_FILTER_TF</t>
        </is>
      </c>
      <c r="C390" s="0" t="inlineStr">
        <is>
          <t>15m</t>
        </is>
      </c>
      <c r="D390" s="0" t="inlineStr">
        <is>
          <t>Bypasses no-loss gate when WT 5of5 confirms (all WT TFs). | Live read: `', 'MI_STRUCT_EXIT_ENABLED', 'MI_VELOCITY_EXIT_ENABLED', 'MI_WAVE_EXIT_ENABLED',`</t>
        </is>
      </c>
      <c r="E390" s="0" t="inlineStr">
        <is>
          <t>GLOBAL_CHECK</t>
        </is>
      </c>
      <c r="F390" s="0" t="inlineStr">
        <is>
          <t>GLOBAL_CHECK</t>
        </is>
      </c>
      <c r="G390" s="0" t="inlineStr">
        <is>
          <t>NOLOSS_BYPASS_WT5OF5</t>
        </is>
      </c>
      <c r="H390" s="0" t="inlineStr">
        <is>
          <t>SPECIFIC — only gated switches</t>
        </is>
      </c>
      <c r="I390" s="0" t="inlineStr">
        <is>
          <t>LIVE — wired</t>
        </is>
      </c>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0" t="n">
        <v>109</v>
      </c>
      <c r="B391" s="0" t="inlineStr">
        <is>
          <t>OI_CONFIRM_ENABLED</t>
        </is>
      </c>
      <c r="C391" s="0" t="inlineStr">
        <is>
          <t>False</t>
        </is>
      </c>
      <c r="D391" s="0" t="inlineStr">
        <is>
          <t>Open Interest confirmation enabled. | Live read: `N_GATE', 'LEADERBOARD_FILTER', 'LIVE_ONLY_SIGNALS_BATCH5_FILTER_TF', 'LIVE_VEC_E`</t>
        </is>
      </c>
      <c r="E391" s="0" t="inlineStr">
        <is>
          <t>ENTRY, GLOBAL_CHECK, STOCKS_EXIT</t>
        </is>
      </c>
      <c r="F391" s="0" t="inlineStr">
        <is>
          <t>ENTRY, GLOBAL_CHECK, STOCKS_EXIT</t>
        </is>
      </c>
      <c r="G391" s="0" t="inlineStr">
        <is>
          <t>OI_CONFIRM_ENABLED</t>
        </is>
      </c>
      <c r="H391" s="0" t="inlineStr">
        <is>
          <t>GENERAL</t>
        </is>
      </c>
      <c r="I391" s="0" t="inlineStr">
        <is>
          <t>LIVE — wired</t>
        </is>
      </c>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0" t="n">
        <v>109</v>
      </c>
      <c r="B392" s="0" t="inlineStr">
        <is>
          <t>OI_CONFIRM_ENABLED</t>
        </is>
      </c>
      <c r="C392" s="0" t="inlineStr">
        <is>
          <t>True</t>
        </is>
      </c>
      <c r="D392" s="0" t="inlineStr">
        <is>
          <t>Open Interest confirmation enabled. | Live read: `N_GATE', 'LEADERBOARD_FILTER', 'LIVE_ONLY_SIGNALS_BATCH5_FILTER_TF', 'LIVE_VEC_E`</t>
        </is>
      </c>
      <c r="E392" s="0" t="inlineStr">
        <is>
          <t>ENTRY, GLOBAL_CHECK, STOCKS_EXIT</t>
        </is>
      </c>
      <c r="F392" s="0" t="inlineStr">
        <is>
          <t>ENTRY, GLOBAL_CHECK, STOCKS_EXIT</t>
        </is>
      </c>
      <c r="G392" s="0" t="inlineStr">
        <is>
          <t>OI_CONFIRM_ENABLED</t>
        </is>
      </c>
      <c r="H392" s="0" t="inlineStr">
        <is>
          <t>GENERAL</t>
        </is>
      </c>
      <c r="I392" s="0" t="inlineStr">
        <is>
          <t>LIVE — wired</t>
        </is>
      </c>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0" t="n">
        <v>110</v>
      </c>
      <c r="B393" s="0" t="inlineStr">
        <is>
          <t>OI_CONFIRM_MIN_CHANGE_PCT</t>
        </is>
      </c>
      <c r="C393" s="0" t="inlineStr">
        <is>
          <t>0</t>
        </is>
      </c>
      <c r="D393" s="0" t="inlineStr">
        <is>
          <t>Threshold/gate: OI_CONFIRM_MIN_CHANGE_PCT — FILTER', 'LIVE_ONLY_SIGNALS_BATCH5_FILTER_TF', 'LIVE_VEC_EMERGENCY_BRAKE_ENABLED', 'LR_BAND_LADDER_STOCH_EXTREME', 'LR_B | ex: `FILTER', 'LIVE_ONLY_SIGNALS_BATCH5_FILTER_TF', 'LIVE_VEC_EMERGENCY_BRAKE_ENABLED`</t>
        </is>
      </c>
      <c r="E393" s="0" t="inlineStr">
        <is>
          <t>ENTRY, GLOBAL_CHECK, STOCKS_EXIT</t>
        </is>
      </c>
      <c r="F393" s="0" t="inlineStr">
        <is>
          <t>ENTRY, GLOBAL_CHECK, STOCKS_EXIT</t>
        </is>
      </c>
      <c r="G393" s="0" t="inlineStr">
        <is>
          <t>OI_CONFIRM_MIN_CHANGE_PCT</t>
        </is>
      </c>
      <c r="H393" s="0" t="inlineStr">
        <is>
          <t>GENERAL</t>
        </is>
      </c>
      <c r="I393" s="0" t="inlineStr">
        <is>
          <t>LIVE — wired</t>
        </is>
      </c>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0" t="n">
        <v>110</v>
      </c>
      <c r="B394" s="0" t="inlineStr">
        <is>
          <t>OI_CONFIRM_MIN_CHANGE_PCT</t>
        </is>
      </c>
      <c r="C394" s="0" t="inlineStr">
        <is>
          <t>2.0</t>
        </is>
      </c>
      <c r="D394" s="0" t="inlineStr">
        <is>
          <t>Threshold/gate: OI_CONFIRM_MIN_CHANGE_PCT — FILTER', 'LIVE_ONLY_SIGNALS_BATCH5_FILTER_TF', 'LIVE_VEC_EMERGENCY_BRAKE_ENABLED', 'LR_BAND_LADDER_STOCH_EXTREME', 'LR_B | ex: `FILTER', 'LIVE_ONLY_SIGNALS_BATCH5_FILTER_TF', 'LIVE_VEC_EMERGENCY_BRAKE_ENABLED`</t>
        </is>
      </c>
      <c r="E394" s="0" t="inlineStr">
        <is>
          <t>ENTRY, GLOBAL_CHECK, STOCKS_EXIT</t>
        </is>
      </c>
      <c r="F394" s="0" t="inlineStr">
        <is>
          <t>ENTRY, GLOBAL_CHECK, STOCKS_EXIT</t>
        </is>
      </c>
      <c r="G394" s="0" t="inlineStr">
        <is>
          <t>OI_CONFIRM_MIN_CHANGE_PCT</t>
        </is>
      </c>
      <c r="H394" s="0" t="inlineStr">
        <is>
          <t>GENERAL</t>
        </is>
      </c>
      <c r="I394" s="0" t="inlineStr">
        <is>
          <t>LIVE — wired</t>
        </is>
      </c>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0" t="n">
        <v>110</v>
      </c>
      <c r="B395" s="0" t="inlineStr">
        <is>
          <t>OI_CONFIRM_MIN_CHANGE_PCT</t>
        </is>
      </c>
      <c r="C395" s="0" t="inlineStr">
        <is>
          <t>1.0</t>
        </is>
      </c>
      <c r="D395" s="0" t="inlineStr">
        <is>
          <t>Threshold/gate: OI_CONFIRM_MIN_CHANGE_PCT — FILTER', 'LIVE_ONLY_SIGNALS_BATCH5_FILTER_TF', 'LIVE_VEC_EMERGENCY_BRAKE_ENABLED', 'LR_BAND_LADDER_STOCH_EXTREME', 'LR_B | ex: `FILTER', 'LIVE_ONLY_SIGNALS_BATCH5_FILTER_TF', 'LIVE_VEC_EMERGENCY_BRAKE_ENABLED`</t>
        </is>
      </c>
      <c r="E395" s="0" t="inlineStr">
        <is>
          <t>ENTRY, GLOBAL_CHECK, STOCKS_EXIT</t>
        </is>
      </c>
      <c r="F395" s="0" t="inlineStr">
        <is>
          <t>ENTRY, GLOBAL_CHECK, STOCKS_EXIT</t>
        </is>
      </c>
      <c r="G395" s="0" t="inlineStr">
        <is>
          <t>OI_CONFIRM_MIN_CHANGE_PCT</t>
        </is>
      </c>
      <c r="H395" s="0" t="inlineStr">
        <is>
          <t>GENERAL</t>
        </is>
      </c>
      <c r="I395" s="0" t="inlineStr">
        <is>
          <t>LIVE — wired</t>
        </is>
      </c>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0" t="n">
        <v>110</v>
      </c>
      <c r="B396" s="0" t="inlineStr">
        <is>
          <t>OI_CONFIRM_MIN_CHANGE_PCT</t>
        </is>
      </c>
      <c r="C396" s="0" t="inlineStr">
        <is>
          <t>0.5</t>
        </is>
      </c>
      <c r="D396" s="0" t="inlineStr">
        <is>
          <t>Threshold/gate: OI_CONFIRM_MIN_CHANGE_PCT — FILTER', 'LIVE_ONLY_SIGNALS_BATCH5_FILTER_TF', 'LIVE_VEC_EMERGENCY_BRAKE_ENABLED', 'LR_BAND_LADDER_STOCH_EXTREME', 'LR_B | ex: `FILTER', 'LIVE_ONLY_SIGNALS_BATCH5_FILTER_TF', 'LIVE_VEC_EMERGENCY_BRAKE_ENABLED`</t>
        </is>
      </c>
      <c r="E396" s="0" t="inlineStr">
        <is>
          <t>ENTRY, GLOBAL_CHECK, STOCKS_EXIT</t>
        </is>
      </c>
      <c r="F396" s="0" t="inlineStr">
        <is>
          <t>ENTRY, GLOBAL_CHECK, STOCKS_EXIT</t>
        </is>
      </c>
      <c r="G396" s="0" t="inlineStr">
        <is>
          <t>OI_CONFIRM_MIN_CHANGE_PCT</t>
        </is>
      </c>
      <c r="H396" s="0" t="inlineStr">
        <is>
          <t>GENERAL</t>
        </is>
      </c>
      <c r="I396" s="0" t="inlineStr">
        <is>
          <t>LIVE — wired</t>
        </is>
      </c>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0" t="n">
        <v>111</v>
      </c>
      <c r="B397" s="0" t="inlineStr">
        <is>
          <t>OI_CONFIRM_MIN_PRICE_PCT</t>
        </is>
      </c>
      <c r="C397" s="0" t="inlineStr">
        <is>
          <t>0</t>
        </is>
      </c>
      <c r="D397" s="0" t="inlineStr">
        <is>
          <t>Threshold/gate: OI_CONFIRM_MIN_PRICE_PCT — ATCH5_FILTER_TF', 'LIVE_VEC_EMERGENCY_BRAKE_ENABLED', 'LR_BAND_LADDER_STOCH_EXTREME', 'LR_BAND_LADDER_TF_BOTTOM', 'LR_BA | ex: `ATCH5_FILTER_TF', 'LIVE_VEC_EMERGENCY_BRAKE_ENABLED', 'LR_BAND_LADDER_STOCH_EXTR`</t>
        </is>
      </c>
      <c r="E397" s="0" t="inlineStr">
        <is>
          <t>ENTRY, GLOBAL_CHECK, STOCKS_EXIT</t>
        </is>
      </c>
      <c r="F397" s="0" t="inlineStr">
        <is>
          <t>ENTRY, GLOBAL_CHECK, STOCKS_EXIT</t>
        </is>
      </c>
      <c r="G397" s="0" t="inlineStr">
        <is>
          <t>OI_CONFIRM_MIN_PRICE_PCT</t>
        </is>
      </c>
      <c r="H397" s="0" t="inlineStr">
        <is>
          <t>GENERAL</t>
        </is>
      </c>
      <c r="I397" s="0" t="inlineStr">
        <is>
          <t>LIVE — wired</t>
        </is>
      </c>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0" t="n">
        <v>111</v>
      </c>
      <c r="B398" s="0" t="inlineStr">
        <is>
          <t>OI_CONFIRM_MIN_PRICE_PCT</t>
        </is>
      </c>
      <c r="C398" s="0" t="inlineStr">
        <is>
          <t>2.0</t>
        </is>
      </c>
      <c r="D398" s="0" t="inlineStr">
        <is>
          <t>Threshold/gate: OI_CONFIRM_MIN_PRICE_PCT — ATCH5_FILTER_TF', 'LIVE_VEC_EMERGENCY_BRAKE_ENABLED', 'LR_BAND_LADDER_STOCH_EXTREME', 'LR_BAND_LADDER_TF_BOTTOM', 'LR_BA | ex: `ATCH5_FILTER_TF', 'LIVE_VEC_EMERGENCY_BRAKE_ENABLED', 'LR_BAND_LADDER_STOCH_EXTR`</t>
        </is>
      </c>
      <c r="E398" s="0" t="inlineStr">
        <is>
          <t>ENTRY, GLOBAL_CHECK, STOCKS_EXIT</t>
        </is>
      </c>
      <c r="F398" s="0" t="inlineStr">
        <is>
          <t>ENTRY, GLOBAL_CHECK, STOCKS_EXIT</t>
        </is>
      </c>
      <c r="G398" s="0" t="inlineStr">
        <is>
          <t>OI_CONFIRM_MIN_PRICE_PCT</t>
        </is>
      </c>
      <c r="H398" s="0" t="inlineStr">
        <is>
          <t>GENERAL</t>
        </is>
      </c>
      <c r="I398" s="0" t="inlineStr">
        <is>
          <t>LIVE — wired</t>
        </is>
      </c>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0" t="n">
        <v>111</v>
      </c>
      <c r="B399" s="0" t="inlineStr">
        <is>
          <t>OI_CONFIRM_MIN_PRICE_PCT</t>
        </is>
      </c>
      <c r="C399" s="0" t="inlineStr">
        <is>
          <t>1.0</t>
        </is>
      </c>
      <c r="D399" s="0" t="inlineStr">
        <is>
          <t>Threshold/gate: OI_CONFIRM_MIN_PRICE_PCT — ATCH5_FILTER_TF', 'LIVE_VEC_EMERGENCY_BRAKE_ENABLED', 'LR_BAND_LADDER_STOCH_EXTREME', 'LR_BAND_LADDER_TF_BOTTOM', 'LR_BA | ex: `ATCH5_FILTER_TF', 'LIVE_VEC_EMERGENCY_BRAKE_ENABLED', 'LR_BAND_LADDER_STOCH_EXTR`</t>
        </is>
      </c>
      <c r="E399" s="0" t="inlineStr">
        <is>
          <t>ENTRY, GLOBAL_CHECK, STOCKS_EXIT</t>
        </is>
      </c>
      <c r="F399" s="0" t="inlineStr">
        <is>
          <t>ENTRY, GLOBAL_CHECK, STOCKS_EXIT</t>
        </is>
      </c>
      <c r="G399" s="0" t="inlineStr">
        <is>
          <t>OI_CONFIRM_MIN_PRICE_PCT</t>
        </is>
      </c>
      <c r="H399" s="0" t="inlineStr">
        <is>
          <t>GENERAL</t>
        </is>
      </c>
      <c r="I399" s="0" t="inlineStr">
        <is>
          <t>LIVE — wired</t>
        </is>
      </c>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0" t="n">
        <v>111</v>
      </c>
      <c r="B400" s="0" t="inlineStr">
        <is>
          <t>OI_CONFIRM_MIN_PRICE_PCT</t>
        </is>
      </c>
      <c r="C400" s="0" t="inlineStr">
        <is>
          <t>0.5</t>
        </is>
      </c>
      <c r="D400" s="0" t="inlineStr">
        <is>
          <t>Threshold/gate: OI_CONFIRM_MIN_PRICE_PCT — ATCH5_FILTER_TF', 'LIVE_VEC_EMERGENCY_BRAKE_ENABLED', 'LR_BAND_LADDER_STOCH_EXTREME', 'LR_BAND_LADDER_TF_BOTTOM', 'LR_BA | ex: `ATCH5_FILTER_TF', 'LIVE_VEC_EMERGENCY_BRAKE_ENABLED', 'LR_BAND_LADDER_STOCH_EXTR`</t>
        </is>
      </c>
      <c r="E400" s="0" t="inlineStr">
        <is>
          <t>ENTRY, GLOBAL_CHECK, STOCKS_EXIT</t>
        </is>
      </c>
      <c r="F400" s="0" t="inlineStr">
        <is>
          <t>ENTRY, GLOBAL_CHECK, STOCKS_EXIT</t>
        </is>
      </c>
      <c r="G400" s="0" t="inlineStr">
        <is>
          <t>OI_CONFIRM_MIN_PRICE_PCT</t>
        </is>
      </c>
      <c r="H400" s="0" t="inlineStr">
        <is>
          <t>GENERAL</t>
        </is>
      </c>
      <c r="I400" s="0" t="inlineStr">
        <is>
          <t>LIVE — wired</t>
        </is>
      </c>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0" t="n">
        <v>112</v>
      </c>
      <c r="B401" s="0" t="inlineStr">
        <is>
          <t>OPEN_INTENT_SIZE_GATES_FILTER_TF</t>
        </is>
      </c>
      <c r="C401" s="0" t="inlineStr">
        <is>
          <t>OFF</t>
        </is>
      </c>
      <c r="D401" s="0" t="inlineStr">
        <is>
          <t>Size gates for open intent on FILTER_TF. | Live read: `MOMENTUM_BREAKOUT_FILTER_TF', 'MOMENTUM_BREAKOUT_MIN_TFS', 'MTF_ARMED_BANDTYPES'`</t>
        </is>
      </c>
      <c r="E401" s="0" t="inlineStr">
        <is>
          <t>GLOBAL_CHECK</t>
        </is>
      </c>
      <c r="F401" s="0" t="inlineStr">
        <is>
          <t>GLOBAL_CHECK</t>
        </is>
      </c>
      <c r="G401" s="0" t="inlineStr">
        <is>
          <t>OPEN_INTENT_SIZE_GATES</t>
        </is>
      </c>
      <c r="H401" s="0" t="inlineStr">
        <is>
          <t>SPECIFIC — only gated switches</t>
        </is>
      </c>
      <c r="I401" s="0" t="inlineStr">
        <is>
          <t>LIVE — wired</t>
        </is>
      </c>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0" t="n">
        <v>112</v>
      </c>
      <c r="B402" s="0" t="inlineStr">
        <is>
          <t>OPEN_INTENT_SIZE_GATES_FILTER_TF</t>
        </is>
      </c>
      <c r="C402" s="0" t="inlineStr">
        <is>
          <t>D</t>
        </is>
      </c>
      <c r="D402" s="0" t="inlineStr">
        <is>
          <t>Size gates for open intent on FILTER_TF. | Live read: `MOMENTUM_BREAKOUT_FILTER_TF', 'MOMENTUM_BREAKOUT_MIN_TFS', 'MTF_ARMED_BANDTYPES'`</t>
        </is>
      </c>
      <c r="E402" s="0" t="inlineStr">
        <is>
          <t>GLOBAL_CHECK</t>
        </is>
      </c>
      <c r="F402" s="0" t="inlineStr">
        <is>
          <t>GLOBAL_CHECK</t>
        </is>
      </c>
      <c r="G402" s="0" t="inlineStr">
        <is>
          <t>OPEN_INTENT_SIZE_GATES</t>
        </is>
      </c>
      <c r="H402" s="0" t="inlineStr">
        <is>
          <t>SPECIFIC — only gated switches</t>
        </is>
      </c>
      <c r="I402" s="0" t="inlineStr">
        <is>
          <t>LIVE — wired</t>
        </is>
      </c>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0" t="n">
        <v>112</v>
      </c>
      <c r="B403" s="0" t="inlineStr">
        <is>
          <t>OPEN_INTENT_SIZE_GATES_FILTER_TF</t>
        </is>
      </c>
      <c r="C403" s="0" t="inlineStr">
        <is>
          <t>4h</t>
        </is>
      </c>
      <c r="D403" s="0" t="inlineStr">
        <is>
          <t>Size gates for open intent on FILTER_TF. | Live read: `MOMENTUM_BREAKOUT_FILTER_TF', 'MOMENTUM_BREAKOUT_MIN_TFS', 'MTF_ARMED_BANDTYPES'`</t>
        </is>
      </c>
      <c r="E403" s="0" t="inlineStr">
        <is>
          <t>GLOBAL_CHECK</t>
        </is>
      </c>
      <c r="F403" s="0" t="inlineStr">
        <is>
          <t>GLOBAL_CHECK</t>
        </is>
      </c>
      <c r="G403" s="0" t="inlineStr">
        <is>
          <t>OPEN_INTENT_SIZE_GATES</t>
        </is>
      </c>
      <c r="H403" s="0" t="inlineStr">
        <is>
          <t>SPECIFIC — only gated switches</t>
        </is>
      </c>
      <c r="I403" s="0" t="inlineStr">
        <is>
          <t>LIVE — wired</t>
        </is>
      </c>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0" t="n">
        <v>112</v>
      </c>
      <c r="B404" s="0" t="inlineStr">
        <is>
          <t>OPEN_INTENT_SIZE_GATES_FILTER_TF</t>
        </is>
      </c>
      <c r="C404" s="0" t="inlineStr">
        <is>
          <t>1h</t>
        </is>
      </c>
      <c r="D404" s="0" t="inlineStr">
        <is>
          <t>Size gates for open intent on FILTER_TF. | Live read: `MOMENTUM_BREAKOUT_FILTER_TF', 'MOMENTUM_BREAKOUT_MIN_TFS', 'MTF_ARMED_BANDTYPES'`</t>
        </is>
      </c>
      <c r="E404" s="0" t="inlineStr">
        <is>
          <t>GLOBAL_CHECK</t>
        </is>
      </c>
      <c r="F404" s="0" t="inlineStr">
        <is>
          <t>GLOBAL_CHECK</t>
        </is>
      </c>
      <c r="G404" s="0" t="inlineStr">
        <is>
          <t>OPEN_INTENT_SIZE_GATES</t>
        </is>
      </c>
      <c r="H404" s="0" t="inlineStr">
        <is>
          <t>SPECIFIC — only gated switches</t>
        </is>
      </c>
      <c r="I404" s="0" t="inlineStr">
        <is>
          <t>LIVE — wired</t>
        </is>
      </c>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0" t="n">
        <v>112</v>
      </c>
      <c r="B405" s="0" t="inlineStr">
        <is>
          <t>OPEN_INTENT_SIZE_GATES_FILTER_TF</t>
        </is>
      </c>
      <c r="C405" s="0" t="inlineStr">
        <is>
          <t>15m</t>
        </is>
      </c>
      <c r="D405" s="0" t="inlineStr">
        <is>
          <t>Size gates for open intent on FILTER_TF. | Live read: `MOMENTUM_BREAKOUT_FILTER_TF', 'MOMENTUM_BREAKOUT_MIN_TFS', 'MTF_ARMED_BANDTYPES'`</t>
        </is>
      </c>
      <c r="E405" s="0" t="inlineStr">
        <is>
          <t>GLOBAL_CHECK</t>
        </is>
      </c>
      <c r="F405" s="0" t="inlineStr">
        <is>
          <t>GLOBAL_CHECK</t>
        </is>
      </c>
      <c r="G405" s="0" t="inlineStr">
        <is>
          <t>OPEN_INTENT_SIZE_GATES</t>
        </is>
      </c>
      <c r="H405" s="0" t="inlineStr">
        <is>
          <t>SPECIFIC — only gated switches</t>
        </is>
      </c>
      <c r="I405" s="0" t="inlineStr">
        <is>
          <t>LIVE — wired</t>
        </is>
      </c>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0" t="n">
        <v>113</v>
      </c>
      <c r="B406" s="0" t="inlineStr">
        <is>
          <t>PARTIAL_PROFIT_LOCK_V2_FILTER_TF</t>
        </is>
      </c>
      <c r="C406" s="0" t="inlineStr">
        <is>
          <t>OFF</t>
        </is>
      </c>
      <c r="D406" s="0" t="inlineStr">
        <is>
          <t>Partial profit lock v2 confirmation TF. | Live read: `OUNCE_ENABLED', 'ENABLE_FAST_RISER_REDUCE', 'HAIKU_AUGMENT_FRACTION', 'HAIKU_AUG`</t>
        </is>
      </c>
      <c r="E406" s="0" t="inlineStr">
        <is>
          <t>GLOBAL_CHECK</t>
        </is>
      </c>
      <c r="F406" s="0" t="inlineStr">
        <is>
          <t>GLOBAL_CHECK</t>
        </is>
      </c>
      <c r="G406" s="0" t="inlineStr">
        <is>
          <t>PARTIAL_PROFIT_LOCK_V2</t>
        </is>
      </c>
      <c r="H406" s="0" t="inlineStr">
        <is>
          <t>SPECIFIC — only gated switches</t>
        </is>
      </c>
      <c r="I406" s="0" t="inlineStr">
        <is>
          <t>LIVE — wired</t>
        </is>
      </c>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0" t="n">
        <v>113</v>
      </c>
      <c r="B407" s="0" t="inlineStr">
        <is>
          <t>PARTIAL_PROFIT_LOCK_V2_FILTER_TF</t>
        </is>
      </c>
      <c r="C407" s="0" t="inlineStr">
        <is>
          <t>D</t>
        </is>
      </c>
      <c r="D407" s="0" t="inlineStr">
        <is>
          <t>Partial profit lock v2 confirmation TF. | Live read: `OUNCE_ENABLED', 'ENABLE_FAST_RISER_REDUCE', 'HAIKU_AUGMENT_FRACTION', 'HAIKU_AUG`</t>
        </is>
      </c>
      <c r="E407" s="0" t="inlineStr">
        <is>
          <t>GLOBAL_CHECK</t>
        </is>
      </c>
      <c r="F407" s="0" t="inlineStr">
        <is>
          <t>GLOBAL_CHECK</t>
        </is>
      </c>
      <c r="G407" s="0" t="inlineStr">
        <is>
          <t>PARTIAL_PROFIT_LOCK_V2</t>
        </is>
      </c>
      <c r="H407" s="0" t="inlineStr">
        <is>
          <t>SPECIFIC — only gated switches</t>
        </is>
      </c>
      <c r="I407" s="0" t="inlineStr">
        <is>
          <t>LIVE — wired</t>
        </is>
      </c>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0" t="n">
        <v>113</v>
      </c>
      <c r="B408" s="0" t="inlineStr">
        <is>
          <t>PARTIAL_PROFIT_LOCK_V2_FILTER_TF</t>
        </is>
      </c>
      <c r="C408" s="0" t="inlineStr">
        <is>
          <t>4h</t>
        </is>
      </c>
      <c r="D408" s="0" t="inlineStr">
        <is>
          <t>Partial profit lock v2 confirmation TF. | Live read: `OUNCE_ENABLED', 'ENABLE_FAST_RISER_REDUCE', 'HAIKU_AUGMENT_FRACTION', 'HAIKU_AUG`</t>
        </is>
      </c>
      <c r="E408" s="0" t="inlineStr">
        <is>
          <t>GLOBAL_CHECK</t>
        </is>
      </c>
      <c r="F408" s="0" t="inlineStr">
        <is>
          <t>GLOBAL_CHECK</t>
        </is>
      </c>
      <c r="G408" s="0" t="inlineStr">
        <is>
          <t>PARTIAL_PROFIT_LOCK_V2</t>
        </is>
      </c>
      <c r="H408" s="0" t="inlineStr">
        <is>
          <t>SPECIFIC — only gated switches</t>
        </is>
      </c>
      <c r="I408" s="0" t="inlineStr">
        <is>
          <t>LIVE — wired</t>
        </is>
      </c>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0" t="n">
        <v>113</v>
      </c>
      <c r="B409" s="0" t="inlineStr">
        <is>
          <t>PARTIAL_PROFIT_LOCK_V2_FILTER_TF</t>
        </is>
      </c>
      <c r="C409" s="0" t="inlineStr">
        <is>
          <t>1h</t>
        </is>
      </c>
      <c r="D409" s="0" t="inlineStr">
        <is>
          <t>Partial profit lock v2 confirmation TF. | Live read: `OUNCE_ENABLED', 'ENABLE_FAST_RISER_REDUCE', 'HAIKU_AUGMENT_FRACTION', 'HAIKU_AUG`</t>
        </is>
      </c>
      <c r="E409" s="0" t="inlineStr">
        <is>
          <t>GLOBAL_CHECK</t>
        </is>
      </c>
      <c r="F409" s="0" t="inlineStr">
        <is>
          <t>GLOBAL_CHECK</t>
        </is>
      </c>
      <c r="G409" s="0" t="inlineStr">
        <is>
          <t>PARTIAL_PROFIT_LOCK_V2</t>
        </is>
      </c>
      <c r="H409" s="0" t="inlineStr">
        <is>
          <t>SPECIFIC — only gated switches</t>
        </is>
      </c>
      <c r="I409" s="0" t="inlineStr">
        <is>
          <t>LIVE — wired</t>
        </is>
      </c>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0" t="n">
        <v>113</v>
      </c>
      <c r="B410" s="0" t="inlineStr">
        <is>
          <t>PARTIAL_PROFIT_LOCK_V2_FILTER_TF</t>
        </is>
      </c>
      <c r="C410" s="0" t="inlineStr">
        <is>
          <t>15m</t>
        </is>
      </c>
      <c r="D410" s="0" t="inlineStr">
        <is>
          <t>Partial profit lock v2 confirmation TF. | Live read: `OUNCE_ENABLED', 'ENABLE_FAST_RISER_REDUCE', 'HAIKU_AUGMENT_FRACTION', 'HAIKU_AUG`</t>
        </is>
      </c>
      <c r="E410" s="0" t="inlineStr">
        <is>
          <t>GLOBAL_CHECK</t>
        </is>
      </c>
      <c r="F410" s="0" t="inlineStr">
        <is>
          <t>GLOBAL_CHECK</t>
        </is>
      </c>
      <c r="G410" s="0" t="inlineStr">
        <is>
          <t>PARTIAL_PROFIT_LOCK_V2</t>
        </is>
      </c>
      <c r="H410" s="0" t="inlineStr">
        <is>
          <t>SPECIFIC — only gated switches</t>
        </is>
      </c>
      <c r="I410" s="0" t="inlineStr">
        <is>
          <t>LIVE — wired</t>
        </is>
      </c>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0" t="n">
        <v>114</v>
      </c>
      <c r="B411" s="0" t="inlineStr">
        <is>
          <t>PEAK_GIVEBACK_BE_EROSION_FILTER_TF</t>
        </is>
      </c>
      <c r="C411" s="0" t="inlineStr">
        <is>
          <t>OFF</t>
        </is>
      </c>
      <c r="D411" s="0" t="inlineStr">
        <is>
          <t>Peak giveback / breakeven erosion filter TF. | Live read: `OCH_EXTREME', 'LR_BAND_LADDER_TF_BOTTOM', 'LR_BAND_LADDER_TF_TOP', 'LTF_ALIGN_GA`</t>
        </is>
      </c>
      <c r="E411" s="0" t="inlineStr">
        <is>
          <t>GLOBAL_CHECK</t>
        </is>
      </c>
      <c r="F411" s="0" t="inlineStr">
        <is>
          <t>GLOBAL_CHECK</t>
        </is>
      </c>
      <c r="G411" s="0" t="inlineStr">
        <is>
          <t>PEAK_GIVEBACK_BE_EROSION</t>
        </is>
      </c>
      <c r="H411" s="0" t="inlineStr">
        <is>
          <t>SPECIFIC — only gated switches</t>
        </is>
      </c>
      <c r="I411" s="0" t="inlineStr">
        <is>
          <t>LIVE — wired</t>
        </is>
      </c>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0" t="n">
        <v>114</v>
      </c>
      <c r="B412" s="0" t="inlineStr">
        <is>
          <t>PEAK_GIVEBACK_BE_EROSION_FILTER_TF</t>
        </is>
      </c>
      <c r="C412" s="0" t="inlineStr">
        <is>
          <t>D</t>
        </is>
      </c>
      <c r="D412" s="0" t="inlineStr">
        <is>
          <t>Peak giveback / breakeven erosion filter TF. | Live read: `OCH_EXTREME', 'LR_BAND_LADDER_TF_BOTTOM', 'LR_BAND_LADDER_TF_TOP', 'LTF_ALIGN_GA`</t>
        </is>
      </c>
      <c r="E412" s="0" t="inlineStr">
        <is>
          <t>GLOBAL_CHECK</t>
        </is>
      </c>
      <c r="F412" s="0" t="inlineStr">
        <is>
          <t>GLOBAL_CHECK</t>
        </is>
      </c>
      <c r="G412" s="0" t="inlineStr">
        <is>
          <t>PEAK_GIVEBACK_BE_EROSION</t>
        </is>
      </c>
      <c r="H412" s="0" t="inlineStr">
        <is>
          <t>SPECIFIC — only gated switches</t>
        </is>
      </c>
      <c r="I412" s="0" t="inlineStr">
        <is>
          <t>LIVE — wired</t>
        </is>
      </c>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0" t="n">
        <v>114</v>
      </c>
      <c r="B413" s="0" t="inlineStr">
        <is>
          <t>PEAK_GIVEBACK_BE_EROSION_FILTER_TF</t>
        </is>
      </c>
      <c r="C413" s="0" t="inlineStr">
        <is>
          <t>4h</t>
        </is>
      </c>
      <c r="D413" s="0" t="inlineStr">
        <is>
          <t>Peak giveback / breakeven erosion filter TF. | Live read: `OCH_EXTREME', 'LR_BAND_LADDER_TF_BOTTOM', 'LR_BAND_LADDER_TF_TOP', 'LTF_ALIGN_GA`</t>
        </is>
      </c>
      <c r="E413" s="0" t="inlineStr">
        <is>
          <t>GLOBAL_CHECK</t>
        </is>
      </c>
      <c r="F413" s="0" t="inlineStr">
        <is>
          <t>GLOBAL_CHECK</t>
        </is>
      </c>
      <c r="G413" s="0" t="inlineStr">
        <is>
          <t>PEAK_GIVEBACK_BE_EROSION</t>
        </is>
      </c>
      <c r="H413" s="0" t="inlineStr">
        <is>
          <t>SPECIFIC — only gated switches</t>
        </is>
      </c>
      <c r="I413" s="0" t="inlineStr">
        <is>
          <t>LIVE — wired</t>
        </is>
      </c>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0" t="n">
        <v>114</v>
      </c>
      <c r="B414" s="0" t="inlineStr">
        <is>
          <t>PEAK_GIVEBACK_BE_EROSION_FILTER_TF</t>
        </is>
      </c>
      <c r="C414" s="0" t="inlineStr">
        <is>
          <t>1h</t>
        </is>
      </c>
      <c r="D414" s="0" t="inlineStr">
        <is>
          <t>Peak giveback / breakeven erosion filter TF. | Live read: `OCH_EXTREME', 'LR_BAND_LADDER_TF_BOTTOM', 'LR_BAND_LADDER_TF_TOP', 'LTF_ALIGN_GA`</t>
        </is>
      </c>
      <c r="E414" s="0" t="inlineStr">
        <is>
          <t>GLOBAL_CHECK</t>
        </is>
      </c>
      <c r="F414" s="0" t="inlineStr">
        <is>
          <t>GLOBAL_CHECK</t>
        </is>
      </c>
      <c r="G414" s="0" t="inlineStr">
        <is>
          <t>PEAK_GIVEBACK_BE_EROSION</t>
        </is>
      </c>
      <c r="H414" s="0" t="inlineStr">
        <is>
          <t>SPECIFIC — only gated switches</t>
        </is>
      </c>
      <c r="I414" s="0" t="inlineStr">
        <is>
          <t>LIVE — wired</t>
        </is>
      </c>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0" t="n">
        <v>114</v>
      </c>
      <c r="B415" s="0" t="inlineStr">
        <is>
          <t>PEAK_GIVEBACK_BE_EROSION_FILTER_TF</t>
        </is>
      </c>
      <c r="C415" s="0" t="inlineStr">
        <is>
          <t>15m</t>
        </is>
      </c>
      <c r="D415" s="0" t="inlineStr">
        <is>
          <t>Peak giveback / breakeven erosion filter TF. | Live read: `OCH_EXTREME', 'LR_BAND_LADDER_TF_BOTTOM', 'LR_BAND_LADDER_TF_TOP', 'LTF_ALIGN_GA`</t>
        </is>
      </c>
      <c r="E415" s="0" t="inlineStr">
        <is>
          <t>GLOBAL_CHECK</t>
        </is>
      </c>
      <c r="F415" s="0" t="inlineStr">
        <is>
          <t>GLOBAL_CHECK</t>
        </is>
      </c>
      <c r="G415" s="0" t="inlineStr">
        <is>
          <t>PEAK_GIVEBACK_BE_EROSION</t>
        </is>
      </c>
      <c r="H415" s="0" t="inlineStr">
        <is>
          <t>SPECIFIC — only gated switches</t>
        </is>
      </c>
      <c r="I415" s="0" t="inlineStr">
        <is>
          <t>LIVE — wired</t>
        </is>
      </c>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0" t="n">
        <v>421</v>
      </c>
      <c r="B416" s="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0" t="n">
        <v>422</v>
      </c>
      <c r="B417" s="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0" t="n">
        <v>423</v>
      </c>
      <c r="B418" s="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0" t="n">
        <v>424</v>
      </c>
      <c r="B419" s="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0" t="n">
        <v>425</v>
      </c>
      <c r="B420" s="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0" t="n">
        <v>426</v>
      </c>
      <c r="B421" s="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0" t="n">
        <v>427</v>
      </c>
      <c r="B422" s="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0" t="n">
        <v>428</v>
      </c>
      <c r="B423" s="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0" t="n">
        <v>429</v>
      </c>
      <c r="B424" s="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0" t="n">
        <v>430</v>
      </c>
      <c r="B425" s="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0" t="n">
        <v>431</v>
      </c>
      <c r="B426" s="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0" t="n">
        <v>432</v>
      </c>
      <c r="B427" s="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0" t="inlineStr">
        <is>
          <t>STDEV_SLOPE_SIZING_ENABLED</t>
        </is>
      </c>
      <c r="B428" s="0" t="inlineStr">
        <is>
          <t>STDEV_SLOPE_SIZING</t>
        </is>
      </c>
      <c r="C428" s="0" t="inlineStr">
        <is>
          <t>STDEV_DAILY_6MO</t>
        </is>
      </c>
      <c r="D428" s="0" t="inlineStr">
        <is>
          <t>STDEV_LADDER</t>
        </is>
      </c>
      <c r="E428" s="0" t="inlineStr">
        <is>
          <t>1x top -&gt; 10x slope/bottom D, 4x 4h, 2x 1h stdev 2.5</t>
        </is>
      </c>
    </row>
    <row r="429" ht="15.75" customHeight="1" s="67">
      <c r="A429" s="0" t="inlineStr">
        <is>
          <t>STDEV_BAND_MULTIPLIER</t>
        </is>
      </c>
      <c r="B429" s="0" t="inlineStr">
        <is>
          <t>STDEV_SLOPE_SIZING</t>
        </is>
      </c>
      <c r="C429" s="0" t="inlineStr">
        <is>
          <t>STDEV_DAILY_6MO</t>
        </is>
      </c>
      <c r="D429" s="0" t="inlineStr">
        <is>
          <t>STDEV_LADDER</t>
        </is>
      </c>
      <c r="E429" s="0" t="inlineStr">
        <is>
          <t>1x top -&gt; 10x slope/bottom D, 4x 4h, 2x 1h stdev 2.5</t>
        </is>
      </c>
    </row>
    <row r="430" ht="15.75" customHeight="1" s="67">
      <c r="A430" s="0" t="inlineStr">
        <is>
          <t>STDEV_SLOPE_SIZING_D_MAX</t>
        </is>
      </c>
      <c r="B430" s="0" t="inlineStr">
        <is>
          <t>STDEV_SLOPE_SIZING</t>
        </is>
      </c>
      <c r="C430" s="0" t="inlineStr">
        <is>
          <t>STDEV_DAILY_6MO</t>
        </is>
      </c>
      <c r="D430" s="0" t="inlineStr">
        <is>
          <t>STDEV_LADDER</t>
        </is>
      </c>
      <c r="E430" s="0" t="inlineStr">
        <is>
          <t>1x top -&gt; 10x slope/bottom D, 4x 4h, 2x 1h stdev 2.5</t>
        </is>
      </c>
    </row>
    <row r="431" ht="15.75" customHeight="1" s="67">
      <c r="A431" s="0" t="inlineStr">
        <is>
          <t>STDEV_SLOPE_SIZING_4H_MAX</t>
        </is>
      </c>
      <c r="B431" s="0" t="inlineStr">
        <is>
          <t>STDEV_SLOPE_SIZING</t>
        </is>
      </c>
      <c r="C431" s="0" t="inlineStr">
        <is>
          <t>STDEV_DAILY_6MO</t>
        </is>
      </c>
      <c r="D431" s="0" t="inlineStr">
        <is>
          <t>STDEV_LADDER</t>
        </is>
      </c>
      <c r="E431" s="0" t="inlineStr">
        <is>
          <t>1x top -&gt; 10x slope/bottom D, 4x 4h, 2x 1h stdev 2.5</t>
        </is>
      </c>
    </row>
    <row r="432" ht="15.75" customHeight="1" s="67">
      <c r="A432" s="0" t="inlineStr">
        <is>
          <t>STDEV_SLOPE_SIZING_1H_MAX</t>
        </is>
      </c>
      <c r="B432" s="0" t="inlineStr">
        <is>
          <t>STDEV_SLOPE_SIZING</t>
        </is>
      </c>
      <c r="C432" s="0" t="inlineStr">
        <is>
          <t>STDEV_DAILY_6MO</t>
        </is>
      </c>
      <c r="D432" s="0" t="inlineStr">
        <is>
          <t>STDEV_LADDER</t>
        </is>
      </c>
      <c r="E432" s="0" t="inlineStr">
        <is>
          <t>1x top -&gt; 10x slope/bottom D, 4x 4h, 2x 1h stdev 2.5</t>
        </is>
      </c>
    </row>
    <row r="433" ht="15.75" customHeight="1" s="67">
      <c r="A433" s="0" t="inlineStr">
        <is>
          <t>STDEV_SLOPE_SIZING_15M_MAX</t>
        </is>
      </c>
      <c r="B433" s="0" t="inlineStr">
        <is>
          <t>STDEV_SLOPE_SIZING</t>
        </is>
      </c>
      <c r="C433" s="0" t="inlineStr">
        <is>
          <t>STDEV_DAILY_6MO</t>
        </is>
      </c>
      <c r="D433" s="0" t="inlineStr">
        <is>
          <t>STDEV_LADDER</t>
        </is>
      </c>
      <c r="E433" s="0" t="inlineStr">
        <is>
          <t>1x top -&gt; 10x slope/bottom D, 4x 4h, 2x 1h stdev 2.5</t>
        </is>
      </c>
    </row>
    <row r="434" ht="15.75" customHeight="1" s="67">
      <c r="A434" s="0" t="inlineStr">
        <is>
          <t>STDEV_SLOPE_LOOKBACK_D</t>
        </is>
      </c>
      <c r="B434" s="0" t="inlineStr">
        <is>
          <t>STDEV_SLOPE_SIZING</t>
        </is>
      </c>
      <c r="C434" s="0" t="inlineStr">
        <is>
          <t>STDEV_DAILY_6MO</t>
        </is>
      </c>
      <c r="D434" s="0" t="inlineStr">
        <is>
          <t>STDEV_LADDER</t>
        </is>
      </c>
      <c r="E434" s="0" t="inlineStr">
        <is>
          <t>1x top -&gt; 10x slope/bottom D, 4x 4h, 2x 1h stdev 2.5</t>
        </is>
      </c>
    </row>
    <row r="435" ht="15.75" customHeight="1" s="67">
      <c r="A435" s="0" t="inlineStr">
        <is>
          <t>STDEV_SLOPE_LOOKBACK_4H</t>
        </is>
      </c>
      <c r="B435" s="0" t="inlineStr">
        <is>
          <t>STDEV_SLOPE_SIZING</t>
        </is>
      </c>
      <c r="C435" s="0" t="inlineStr">
        <is>
          <t>STDEV_DAILY_6MO</t>
        </is>
      </c>
      <c r="D435" s="0" t="inlineStr">
        <is>
          <t>STDEV_LADDER</t>
        </is>
      </c>
      <c r="E435" s="0" t="inlineStr">
        <is>
          <t>1x top -&gt; 10x slope/bottom D, 4x 4h, 2x 1h stdev 2.5</t>
        </is>
      </c>
    </row>
    <row r="436" ht="15.75" customHeight="1" s="67">
      <c r="A436" s="0" t="inlineStr">
        <is>
          <t>STDEV_SLOPE_LOOKBACK_1H</t>
        </is>
      </c>
      <c r="B436" s="0" t="inlineStr">
        <is>
          <t>STDEV_SLOPE_SIZING</t>
        </is>
      </c>
      <c r="C436" s="0" t="inlineStr">
        <is>
          <t>STDEV_DAILY_6MO</t>
        </is>
      </c>
      <c r="D436" s="0" t="inlineStr">
        <is>
          <t>STDEV_LADDER</t>
        </is>
      </c>
      <c r="E436" s="0" t="inlineStr">
        <is>
          <t>1x top -&gt; 10x slope/bottom D, 4x 4h, 2x 1h stdev 2.5</t>
        </is>
      </c>
    </row>
    <row r="437" ht="15.75" customHeight="1" s="67">
      <c r="A437" s="0" t="inlineStr">
        <is>
          <t>STDEV_SLOPE_LOOKBACK_15M</t>
        </is>
      </c>
      <c r="B437" s="0" t="inlineStr">
        <is>
          <t>STDEV_SLOPE_SIZING</t>
        </is>
      </c>
      <c r="C437" s="0" t="inlineStr">
        <is>
          <t>STDEV_DAILY_6MO</t>
        </is>
      </c>
      <c r="D437" s="0" t="inlineStr">
        <is>
          <t>STDEV_LADDER</t>
        </is>
      </c>
      <c r="E437" s="0" t="inlineStr">
        <is>
          <t>1x top -&gt; 10x slope/bottom D, 4x 4h, 2x 1h stdev 2.5</t>
        </is>
      </c>
    </row>
    <row r="438" ht="15.75" customHeight="1" s="67">
      <c r="A438" s="0" t="inlineStr">
        <is>
          <t>BAND_SLOPE_SIZING_V2_ENABLED</t>
        </is>
      </c>
      <c r="B438" s="0" t="inlineStr">
        <is>
          <t>STDEV_SLOPE_SIZING</t>
        </is>
      </c>
      <c r="C438" s="0" t="inlineStr">
        <is>
          <t>STDEV_DAILY_6MO</t>
        </is>
      </c>
      <c r="D438" s="0" t="inlineStr">
        <is>
          <t>STDEV_LADDER</t>
        </is>
      </c>
      <c r="E438" s="0" t="inlineStr">
        <is>
          <t>1x top -&gt; 10x slope/bottom D, 4x 4h, 2x 1h stdev 2.5</t>
        </is>
      </c>
    </row>
    <row r="439" ht="15.75" customHeight="1" s="67">
      <c r="A439" s="0" t="inlineStr">
        <is>
          <t>BAND_SLOPE_SIZING_V2_TF</t>
        </is>
      </c>
      <c r="B439" s="0" t="inlineStr">
        <is>
          <t>STDEV_SLOPE_SIZING</t>
        </is>
      </c>
      <c r="C439" s="0" t="inlineStr">
        <is>
          <t>STDEV_DAILY_6MO</t>
        </is>
      </c>
      <c r="D439" s="0" t="inlineStr">
        <is>
          <t>STDEV_LADDER</t>
        </is>
      </c>
      <c r="E439" s="0" t="inlineStr">
        <is>
          <t>1x top -&gt; 10x slope/bottom D, 4x 4h, 2x 1h stdev 2.5</t>
        </is>
      </c>
    </row>
    <row r="440" ht="15.75" customHeight="1" s="67">
      <c r="A440" s="0" t="inlineStr">
        <is>
          <t>BAND_SLOPE_SIZING_V2_DEPTH_GAIN</t>
        </is>
      </c>
      <c r="B440" s="0" t="inlineStr">
        <is>
          <t>STDEV_SLOPE_SIZING</t>
        </is>
      </c>
      <c r="C440" s="0" t="inlineStr">
        <is>
          <t>STDEV_DAILY_6MO</t>
        </is>
      </c>
      <c r="D440" s="0" t="inlineStr">
        <is>
          <t>STDEV_LADDER</t>
        </is>
      </c>
      <c r="E440" s="0" t="inlineStr">
        <is>
          <t>1x top -&gt; 10x slope/bottom D, 4x 4h, 2x 1h stdev 2.5</t>
        </is>
      </c>
    </row>
    <row r="441" ht="15.75" customHeight="1" s="67">
      <c r="A441" s="0" t="inlineStr">
        <is>
          <t>BAND_SLOPE_SIZING_V2_MIN</t>
        </is>
      </c>
      <c r="B441" s="0" t="inlineStr">
        <is>
          <t>STDEV_SLOPE_SIZING</t>
        </is>
      </c>
      <c r="C441" s="0" t="inlineStr">
        <is>
          <t>STDEV_DAILY_6MO</t>
        </is>
      </c>
      <c r="D441" s="0" t="inlineStr">
        <is>
          <t>STDEV_LADDER</t>
        </is>
      </c>
      <c r="E441" s="0" t="inlineStr">
        <is>
          <t>1x top -&gt; 10x slope/bottom D, 4x 4h, 2x 1h stdev 2.5</t>
        </is>
      </c>
    </row>
    <row r="442" ht="15.75" customHeight="1" s="67">
      <c r="A442" s="0" t="inlineStr">
        <is>
          <t>BAND_SLOPE_SIZING_V2_MAX</t>
        </is>
      </c>
      <c r="B442" s="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0" t="inlineStr">
        <is>
          <t>AAPL_LONG</t>
        </is>
      </c>
      <c r="B3" s="0" t="inlineStr">
        <is>
          <t>OK</t>
        </is>
      </c>
      <c r="C3" s="0" t="n">
        <v>-6.6311</v>
      </c>
      <c r="D3" s="0" t="n">
        <v>-0.2557</v>
      </c>
      <c r="E3" s="0" t="n">
        <v>41</v>
      </c>
      <c r="F3" s="0">
        <f>IFERROR(VLOOKUP($A3,Results_30d_Deltas!$A$2:$H$5000,8,FALSE)-E2,"")</f>
        <v/>
      </c>
      <c r="G3" s="0">
        <f>IFERROR(VLOOKUP($A3,Results_30d_Deltas!$A$2:$H$5000,7,FALSE)-E2,"")</f>
        <v/>
      </c>
      <c r="K3" s="0">
        <f>IF(B3=C3,"YES","NO")</f>
        <v/>
      </c>
    </row>
    <row r="4">
      <c r="A4" s="0" t="inlineStr">
        <is>
          <t>AAPL_SHORT</t>
        </is>
      </c>
      <c r="B4" s="0" t="inlineStr">
        <is>
          <t>OK</t>
        </is>
      </c>
      <c r="C4" s="0" t="n">
        <v>1.3858</v>
      </c>
      <c r="D4" s="0" t="n">
        <v>0.0498</v>
      </c>
      <c r="E4" s="0" t="n">
        <v>43</v>
      </c>
      <c r="F4" s="0">
        <f>IFERROR(VLOOKUP($A4,Results_30d_Deltas!$A$2:$H$5000,8,FALSE)-E3,"")</f>
        <v/>
      </c>
      <c r="G4" s="0">
        <f>IFERROR(VLOOKUP($A4,Results_30d_Deltas!$A$2:$H$5000,7,FALSE)-E3,"")</f>
        <v/>
      </c>
      <c r="K4" s="0">
        <f>IF(B4=C4,"YES","NO")</f>
        <v/>
      </c>
    </row>
    <row r="5">
      <c r="A5" s="0" t="inlineStr">
        <is>
          <t>MU_LONG</t>
        </is>
      </c>
      <c r="B5" s="0" t="inlineStr">
        <is>
          <t>OK</t>
        </is>
      </c>
      <c r="C5" s="0" t="n">
        <v>-0.3971</v>
      </c>
      <c r="D5" s="0" t="n">
        <v>-0.0038</v>
      </c>
      <c r="E5" s="0" t="n">
        <v>123</v>
      </c>
      <c r="F5" s="0">
        <f>IFERROR(VLOOKUP($A5,Results_30d_Deltas!$A$2:$H$5000,8,FALSE)-E4,"")</f>
        <v/>
      </c>
      <c r="G5" s="0">
        <f>IFERROR(VLOOKUP($A5,Results_30d_Deltas!$A$2:$H$5000,7,FALSE)-E4,"")</f>
        <v/>
      </c>
      <c r="K5" s="0">
        <f>IF(B5=C5,"YES","NO")</f>
        <v/>
      </c>
    </row>
    <row r="6">
      <c r="A6" s="0" t="inlineStr">
        <is>
          <t>MU_SHORT</t>
        </is>
      </c>
      <c r="B6" s="0" t="inlineStr">
        <is>
          <t>OK</t>
        </is>
      </c>
      <c r="C6" s="0" t="n">
        <v>10.1335</v>
      </c>
      <c r="D6" s="0" t="n">
        <v>0.0824</v>
      </c>
      <c r="E6" s="0" t="n">
        <v>121</v>
      </c>
      <c r="F6" s="0">
        <f>IFERROR(VLOOKUP($A6,Results_30d_Deltas!$A$2:$H$5000,8,FALSE)-E5,"")</f>
        <v/>
      </c>
      <c r="G6" s="0">
        <f>IFERROR(VLOOKUP($A6,Results_30d_Deltas!$A$2:$H$5000,7,FALSE)-E5,"")</f>
        <v/>
      </c>
      <c r="K6" s="0">
        <f>IF(B6=C6,"YES","NO")</f>
        <v/>
      </c>
    </row>
    <row r="7">
      <c r="A7" s="0" t="inlineStr">
        <is>
          <t>MSFT_LONG</t>
        </is>
      </c>
      <c r="B7" s="0" t="inlineStr">
        <is>
          <t>NO_NPZ</t>
        </is>
      </c>
      <c r="F7" s="0">
        <f>IFERROR(VLOOKUP($A7,Results_30d_Deltas!$A$2:$H$5000,8,FALSE)-E6,"")</f>
        <v/>
      </c>
      <c r="G7" s="0">
        <f>IFERROR(VLOOKUP($A7,Results_30d_Deltas!$A$2:$H$5000,7,FALSE)-E6,"")</f>
        <v/>
      </c>
      <c r="K7" s="0">
        <f>IF(B7=C7,"YES","NO")</f>
        <v/>
      </c>
    </row>
    <row r="8">
      <c r="A8" s="0" t="inlineStr">
        <is>
          <t>MSFT_SHORT</t>
        </is>
      </c>
      <c r="B8" s="0" t="inlineStr">
        <is>
          <t>NO_NPZ</t>
        </is>
      </c>
      <c r="F8" s="0">
        <f>IFERROR(VLOOKUP($A8,Results_30d_Deltas!$A$2:$H$5000,8,FALSE)-E7,"")</f>
        <v/>
      </c>
      <c r="G8" s="0">
        <f>IFERROR(VLOOKUP($A8,Results_30d_Deltas!$A$2:$H$5000,7,FALSE)-E7,"")</f>
        <v/>
      </c>
      <c r="K8" s="0">
        <f>IF(B8=C8,"YES","NO")</f>
        <v/>
      </c>
    </row>
    <row r="9">
      <c r="A9" s="0" t="inlineStr">
        <is>
          <t>TSLA_LONG</t>
        </is>
      </c>
      <c r="B9" s="0" t="inlineStr">
        <is>
          <t>NO_NPZ</t>
        </is>
      </c>
      <c r="F9" s="0">
        <f>IFERROR(VLOOKUP($A9,Results_30d_Deltas!$A$2:$H$5000,8,FALSE)-E8,"")</f>
        <v/>
      </c>
      <c r="G9" s="0">
        <f>IFERROR(VLOOKUP($A9,Results_30d_Deltas!$A$2:$H$5000,7,FALSE)-E8,"")</f>
        <v/>
      </c>
      <c r="K9" s="0">
        <f>IF(B9=C9,"YES","NO")</f>
        <v/>
      </c>
    </row>
    <row r="10">
      <c r="A10" s="0" t="inlineStr">
        <is>
          <t>TSLA_SHORT</t>
        </is>
      </c>
      <c r="B10" s="0" t="inlineStr">
        <is>
          <t>NO_NPZ</t>
        </is>
      </c>
      <c r="F10" s="0">
        <f>IFERROR(VLOOKUP($A10,Results_30d_Deltas!$A$2:$H$5000,8,FALSE)-E9,"")</f>
        <v/>
      </c>
      <c r="G10" s="0">
        <f>IFERROR(VLOOKUP($A10,Results_30d_Deltas!$A$2:$H$5000,7,FALSE)-E9,"")</f>
        <v/>
      </c>
      <c r="K10" s="0">
        <f>IF(B10=C10,"YES","NO")</f>
        <v/>
      </c>
    </row>
    <row r="11">
      <c r="A11" s="0" t="inlineStr">
        <is>
          <t>BTC_LONG</t>
        </is>
      </c>
      <c r="B11" s="0" t="inlineStr">
        <is>
          <t>NO_NPZ</t>
        </is>
      </c>
      <c r="F11" s="0">
        <f>IFERROR(VLOOKUP($A11,Results_30d_Deltas!$A$2:$H$5000,8,FALSE)-E10,"")</f>
        <v/>
      </c>
      <c r="G11" s="0">
        <f>IFERROR(VLOOKUP($A11,Results_30d_Deltas!$A$2:$H$5000,7,FALSE)-E10,"")</f>
        <v/>
      </c>
      <c r="K11" s="0">
        <f>IF(B11=C11,"YES","NO")</f>
        <v/>
      </c>
    </row>
    <row r="12">
      <c r="A12" s="0" t="inlineStr">
        <is>
          <t>BTC_SHORT</t>
        </is>
      </c>
      <c r="B12" s="0" t="inlineStr">
        <is>
          <t>NO_NPZ</t>
        </is>
      </c>
      <c r="F12" s="0">
        <f>IFERROR(VLOOKUP($A12,Results_30d_Deltas!$A$2:$H$5000,8,FALSE)-E11,"")</f>
        <v/>
      </c>
      <c r="G12" s="0">
        <f>IFERROR(VLOOKUP($A12,Results_30d_Deltas!$A$2:$H$5000,7,FALSE)-E11,"")</f>
        <v/>
      </c>
      <c r="K12" s="0">
        <f>IF(B12=C12,"YES","NO")</f>
        <v/>
      </c>
    </row>
    <row r="13">
      <c r="A13" s="0" t="inlineStr">
        <is>
          <t>ETH_LONG</t>
        </is>
      </c>
      <c r="B13" s="0" t="inlineStr">
        <is>
          <t>NO_NPZ</t>
        </is>
      </c>
      <c r="F13" s="0">
        <f>IFERROR(VLOOKUP($A13,Results_30d_Deltas!$A$2:$H$5000,8,FALSE)-E12,"")</f>
        <v/>
      </c>
      <c r="G13" s="0">
        <f>IFERROR(VLOOKUP($A13,Results_30d_Deltas!$A$2:$H$5000,7,FALSE)-E12,"")</f>
        <v/>
      </c>
      <c r="K13" s="0">
        <f>IF(B13=C13,"YES","NO")</f>
        <v/>
      </c>
    </row>
    <row r="14">
      <c r="A14" s="0" t="inlineStr">
        <is>
          <t>ETH_SHORT</t>
        </is>
      </c>
      <c r="B14" s="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2026-09-18T21:38:22Z</dcterms:modified>
</cp:coreProperties>
</file>