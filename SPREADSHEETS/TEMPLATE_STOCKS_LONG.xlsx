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BB_SQUEEZE_WIDTH_PERCENTILE</t>
        </is>
      </c>
      <c r="B3" s="0" t="inlineStr">
        <is>
          <t>0.2</t>
        </is>
      </c>
      <c r="E3" s="0">
        <f>IF(G19="",E18,IF(G19&gt;0,E18+G19,E18))</f>
        <v/>
      </c>
      <c r="G3" s="0">
        <f>IFERROR(VLOOKUP($A19&amp;"_"&amp;$B19,Results_Deltas!$A$2:$P$15000,5,FALSE),"")</f>
        <v/>
      </c>
      <c r="H3" s="0">
        <f>IFERROR(VLOOKUP($A19,Results_30d_Deltas!$A$2:$H$5000,7,FALSE)-E18,"")</f>
        <v/>
      </c>
      <c r="I3" s="0">
        <f>IFERROR(VLOOKUP($A19,Results_30d_Deltas!$A$2:$H$5000,6,FALSE),"")</f>
        <v/>
      </c>
      <c r="L3" s="0" t="inlineStr">
        <is>
          <t>YES</t>
        </is>
      </c>
      <c r="M3" s="0" t="n">
        <v>-3.246613594524634</v>
      </c>
      <c r="IL3" s="0" t="inlineStr">
        <is>
          <t>ez_manage.py:4375 top()</t>
        </is>
      </c>
      <c r="IM3" s="0" t="inlineStr">
        <is>
          <t>v12_quick_engine.py:1285 x7</t>
        </is>
      </c>
    </row>
    <row r="4" ht="10.5" customHeight="1" s="67">
      <c r="A4" s="0" t="inlineStr">
        <is>
          <t>BB_SQUEEZE_ENTRY_ENABLED</t>
        </is>
      </c>
      <c r="B4" s="0" t="inlineStr">
        <is>
          <t>True</t>
        </is>
      </c>
      <c r="E4" s="0">
        <f>IF(G19="",E18,IF(G19&gt;0,E18+G19,E18))</f>
        <v/>
      </c>
      <c r="G4" s="0">
        <f>IFERROR(VLOOKUP($A19&amp;"_"&amp;$B19,Results_Deltas!$A$2:$P$15000,5,FALSE),"")</f>
        <v/>
      </c>
      <c r="H4" s="0">
        <f>IFERROR(VLOOKUP($A19,Results_30d_Deltas!$A$2:$H$5000,7,FALSE)-E18,"")</f>
        <v/>
      </c>
      <c r="I4" s="0">
        <f>IFERROR(VLOOKUP($A19,Results_30d_Deltas!$A$2:$H$5000,6,FALSE),"")</f>
        <v/>
      </c>
      <c r="L4" s="0" t="inlineStr">
        <is>
          <t>YES</t>
        </is>
      </c>
      <c r="M4" s="0" t="n">
        <v>-2.650397136620916</v>
      </c>
      <c r="IL4" s="0" t="inlineStr">
        <is>
          <t>ez_manage.py:4371 top()</t>
        </is>
      </c>
      <c r="IM4" s="0" t="inlineStr">
        <is>
          <t>v12_quick_engine.py:889 x9</t>
        </is>
      </c>
    </row>
    <row r="5" ht="10.5" customHeight="1" s="67">
      <c r="A5" s="0" t="inlineStr">
        <is>
          <t>WT_MOMENTUM_EXIT_THRESHOLD</t>
        </is>
      </c>
      <c r="B5" s="0" t="inlineStr">
        <is>
          <t>2</t>
        </is>
      </c>
      <c r="E5" s="0">
        <f>IF(G15="",E14,IF(G15&gt;0,E14+G15,E14))</f>
        <v/>
      </c>
      <c r="G5" s="0">
        <f>IFERROR(VLOOKUP($A15&amp;"_"&amp;$B15,Results_Deltas!$A$2:$P$15000,5,FALSE),"")</f>
        <v/>
      </c>
      <c r="H5" s="0">
        <f>IFERROR(VLOOKUP($A15,Results_30d_Deltas!$A$2:$H$5000,7,FALSE)-E14,"")</f>
        <v/>
      </c>
      <c r="I5" s="0">
        <f>IFERROR(VLOOKUP($A15,Results_30d_Deltas!$A$2:$H$5000,6,FALSE),"")</f>
        <v/>
      </c>
      <c r="L5" s="0" t="inlineStr">
        <is>
          <t>NO</t>
        </is>
      </c>
      <c r="M5" s="0" t="n">
        <v>-3.742470648103667</v>
      </c>
      <c r="IL5" s="0" t="inlineStr">
        <is>
          <t>ez_manage.py:6087 top()</t>
        </is>
      </c>
      <c r="IM5" s="0" t="inlineStr">
        <is>
          <t>v12_quick_engine.py:4293 x3</t>
        </is>
      </c>
    </row>
    <row r="6" ht="15.75" customHeight="1" s="67">
      <c r="A6" s="0" t="inlineStr">
        <is>
          <t>WT_MOMENTUM_EXIT_THRESHOLD</t>
        </is>
      </c>
      <c r="B6" s="0" t="inlineStr">
        <is>
          <t>1</t>
        </is>
      </c>
      <c r="E6" s="0">
        <f>IF(G21="",E20,IF(G21&gt;0,E20+G21,E20))</f>
        <v/>
      </c>
      <c r="G6" s="0">
        <f>IFERROR(VLOOKUP($A21&amp;"_"&amp;$B21,Results_Deltas!$A$2:$P$15000,5,FALSE),"")</f>
        <v/>
      </c>
      <c r="H6" s="0">
        <f>IFERROR(VLOOKUP($A21,Results_30d_Deltas!$A$2:$H$5000,7,FALSE)-E20,"")</f>
        <v/>
      </c>
      <c r="I6" s="0">
        <f>IFERROR(VLOOKUP($A21,Results_30d_Deltas!$A$2:$H$5000,6,FALSE),"")</f>
        <v/>
      </c>
      <c r="L6" s="0" t="inlineStr">
        <is>
          <t>YES</t>
        </is>
      </c>
      <c r="M6" s="0" t="n">
        <v>-2.159324488871049</v>
      </c>
      <c r="IL6" s="0" t="inlineStr">
        <is>
          <t>ez_manage.py:6087 top()</t>
        </is>
      </c>
      <c r="IM6" s="0" t="inlineStr">
        <is>
          <t>v12_quick_engine.py:4293 x3</t>
        </is>
      </c>
    </row>
    <row r="7" ht="10.5" customHeight="1" s="67">
      <c r="A7" s="0" t="inlineStr">
        <is>
          <t>WT_15M_BOUNCE_OPEN_ENABLED</t>
        </is>
      </c>
      <c r="B7" s="0" t="inlineStr">
        <is>
          <t>False</t>
        </is>
      </c>
      <c r="E7" s="0">
        <f>TEMPLATE_BASELINE_METRICS!B2</f>
        <v/>
      </c>
      <c r="G7" s="0">
        <f>IFERROR(VLOOKUP($A3&amp;"="&amp;$B3,Results_Deltas!$A$2:$P$15000,5,FALSE),"")</f>
        <v/>
      </c>
      <c r="H7" s="0">
        <f>IFERROR(VLOOKUP($A3,Results_30d_Deltas!$A$2:$H$5000,7,FALSE)-E3,"")</f>
        <v/>
      </c>
      <c r="I7" s="0">
        <f>IFERROR(VLOOKUP($A3,Results_30d_Deltas!$A$2:$H$5000,6,FALSE),"")</f>
        <v/>
      </c>
      <c r="L7" s="0" t="inlineStr">
        <is>
          <t>YES</t>
        </is>
      </c>
      <c r="M7" s="0" t="n">
        <v>-11.30092950023047</v>
      </c>
      <c r="IL7" s="0" t="inlineStr">
        <is>
          <t>ez_manage.py:6076 top()</t>
        </is>
      </c>
      <c r="IM7" s="0" t="inlineStr">
        <is>
          <t>v12_quick_engine.py:4288 x7</t>
        </is>
      </c>
    </row>
    <row r="8" ht="10.5" customHeight="1" s="67">
      <c r="A8" s="0" t="inlineStr">
        <is>
          <t>WT_15M_BOUNCE_OPEN_ENABLED</t>
        </is>
      </c>
      <c r="B8" s="0" t="inlineStr">
        <is>
          <t>True</t>
        </is>
      </c>
      <c r="E8" s="0">
        <f>IF(G4="",E3,IF(G4&gt;0,E3+G4,E3))</f>
        <v/>
      </c>
      <c r="G8" s="0">
        <f>IFERROR(VLOOKUP($A4&amp;"_"&amp;$B4,Results_Deltas!$A$2:$P$15000,5,FALSE),"")</f>
        <v/>
      </c>
      <c r="H8" s="0">
        <f>IFERROR(VLOOKUP($A4,Results_30d_Deltas!$A$2:$H$5000,7,FALSE)-E3,"")</f>
        <v/>
      </c>
      <c r="I8" s="0">
        <f>IFERROR(VLOOKUP($A4,Results_30d_Deltas!$A$2:$H$5000,6,FALSE),"")</f>
        <v/>
      </c>
      <c r="L8" s="0" t="inlineStr">
        <is>
          <t>NO</t>
        </is>
      </c>
      <c r="M8" s="0" t="n">
        <v>7.071010733222724</v>
      </c>
      <c r="IL8" s="0" t="inlineStr">
        <is>
          <t>ez_manage.py:6076 top()</t>
        </is>
      </c>
      <c r="IM8" s="0" t="inlineStr">
        <is>
          <t>v12_quick_engine.py:4288 x7</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AUDIT_STATUS 2026-09-16 (4 sheets direct)</t>
        </is>
      </c>
    </row>
    <row r="3">
      <c r="A3" s="0" t="inlineStr">
        <is>
          <t>BAND_SLOPE_SIZING_V2_TF</t>
        </is>
      </c>
      <c r="B3" s="0" t="inlineStr">
        <is>
          <t>4h</t>
        </is>
      </c>
      <c r="D3" s="0" t="inlineStr">
        <is>
          <t>STDEV_LADDER</t>
        </is>
      </c>
      <c r="E3" s="0">
        <f>IF(G5="",E4,IF(G5&gt;0,E4+G5,E4))</f>
        <v/>
      </c>
      <c r="F3" s="0">
        <f>IFERROR(VLOOKUP($A5&amp;"="&amp;$B5,Results_Deltas!$A$2:$P$15000,5,FALSE),"")</f>
        <v/>
      </c>
      <c r="G3" s="0">
        <f>IFERROR(VLOOKUP($A5,Results_30d_Deltas!$A$2:$H$5000,7,FALSE)-E5,"")</f>
        <v/>
      </c>
      <c r="H3" s="0">
        <f>IFERROR(VLOOKUP($A5,Results_30d_Deltas!$A$2:$H$5000,6,FALSE),"")</f>
        <v/>
      </c>
      <c r="L3" s="0" t="inlineStr">
        <is>
          <t>NO</t>
        </is>
      </c>
      <c r="M3" s="0" t="n">
        <v>-5.302095796472655</v>
      </c>
    </row>
    <row r="4">
      <c r="A4" s="0" t="inlineStr">
        <is>
          <t>BAND_SLOPE_SIZING_V2_TF</t>
        </is>
      </c>
      <c r="B4" s="0" t="inlineStr">
        <is>
          <t>D</t>
        </is>
      </c>
      <c r="D4" s="0" t="inlineStr">
        <is>
          <t>STDEV_LADDER</t>
        </is>
      </c>
      <c r="E4" s="0">
        <f>IF(G17="",E16,IF(G17&gt;0,E16+G17,E16))</f>
        <v/>
      </c>
      <c r="G4" s="0">
        <f>IFERROR(VLOOKUP($A17&amp;"_"&amp;$B17,Results_Deltas!$A$2:$P$15000,5,FALSE),"")</f>
        <v/>
      </c>
      <c r="H4" s="0">
        <f>IFERROR(VLOOKUP($A6,Results_30d_Deltas!$A$2:$H$5000,7,FALSE)-E6,"")</f>
        <v/>
      </c>
      <c r="I4" s="0">
        <f>IFERROR(VLOOKUP($A6,Results_30d_Deltas!$A$2:$H$5000,6,FALSE),"")</f>
        <v/>
      </c>
      <c r="L4" s="0" t="inlineStr">
        <is>
          <t>NO</t>
        </is>
      </c>
      <c r="M4" s="0" t="n">
        <v>-3.2294017255381</v>
      </c>
    </row>
    <row r="5">
      <c r="A5" s="0" t="inlineStr">
        <is>
          <t>STDEV_SLOPE_SIZING_ENABLED</t>
        </is>
      </c>
      <c r="B5" s="0" t="b">
        <v>0</v>
      </c>
      <c r="D5" s="0" t="inlineStr">
        <is>
          <t>STDEV_LADDER</t>
        </is>
      </c>
      <c r="E5" s="0">
        <f>IF(G4="",E3,IF(G4&gt;0,E3+G4,E3))</f>
        <v/>
      </c>
      <c r="F5" s="0">
        <f>IFERROR(VLOOKUP($A4&amp;"="&amp;$B4,Results_Deltas!$A$2:$P$15000,5,FALSE),"")</f>
        <v/>
      </c>
      <c r="G5" s="0">
        <f>IFERROR(VLOOKUP($A4,Results_30d_Deltas!$A$2:$H$5000,7,FALSE)-E4,"")</f>
        <v/>
      </c>
      <c r="H5" s="0">
        <f>IFERROR(VLOOKUP($A4,Results_30d_Deltas!$A$2:$H$5000,6,FALSE),"")</f>
        <v/>
      </c>
      <c r="L5" s="0" t="inlineStr">
        <is>
          <t>NO</t>
        </is>
      </c>
      <c r="M5" s="0" t="n">
        <v>-6.226950790563168</v>
      </c>
    </row>
    <row r="6">
      <c r="A6" s="0" t="inlineStr">
        <is>
          <t>STDEV_SLOPE_SIZING_MODE</t>
        </is>
      </c>
      <c r="B6" s="0" t="inlineStr">
        <is>
          <t>bottom_to_top</t>
        </is>
      </c>
      <c r="D6" s="0" t="inlineStr">
        <is>
          <t>STDEV_LADDER</t>
        </is>
      </c>
      <c r="E6" s="0">
        <f>IF(G13="",E12,IF(G13&gt;0,E12+G13,E12))</f>
        <v/>
      </c>
      <c r="F6" s="0">
        <f>IFERROR(VLOOKUP($A13&amp;"="&amp;$B13,Results_Deltas!$A$2:$P$15000,5,FALSE),"")</f>
        <v/>
      </c>
      <c r="G6" s="0">
        <f>IFERROR(VLOOKUP($A13,Results_30d_Deltas!$A$2:$H$5000,7,FALSE)-E13,"")</f>
        <v/>
      </c>
      <c r="H6" s="0">
        <f>IFERROR(VLOOKUP($A13,Results_30d_Deltas!$A$2:$H$5000,6,FALSE),"")</f>
        <v/>
      </c>
      <c r="L6" s="0" t="inlineStr">
        <is>
          <t>NO</t>
        </is>
      </c>
      <c r="M6" s="0" t="n">
        <v>-4.003249814326627</v>
      </c>
    </row>
    <row r="7">
      <c r="A7" s="0" t="inlineStr">
        <is>
          <t>STDEV_SLOPE_SIZING_MODE</t>
        </is>
      </c>
      <c r="B7" s="0" t="inlineStr">
        <is>
          <t>slope_to_top</t>
        </is>
      </c>
      <c r="D7" s="0" t="inlineStr">
        <is>
          <t>STDEV_LADDER</t>
        </is>
      </c>
      <c r="E7" s="0">
        <f>IF(G19="",E18,IF(G19&gt;0,E18+G19,E18))</f>
        <v/>
      </c>
      <c r="G7" s="0">
        <f>IFERROR(VLOOKUP($A19&amp;"_"&amp;$B19,Results_Deltas!$A$2:$P$15000,5,FALSE),"")</f>
        <v/>
      </c>
      <c r="H7" s="0">
        <f>IFERROR(VLOOKUP($A4,Results_30d_Deltas!$A$2:$H$5000,7,FALSE)-E4,"")</f>
        <v/>
      </c>
      <c r="L7" s="0" t="inlineStr">
        <is>
          <t>YES</t>
        </is>
      </c>
      <c r="M7" s="0" t="n">
        <v>-2.11604496591277</v>
      </c>
    </row>
    <row r="8">
      <c r="A8" s="0" t="inlineStr">
        <is>
          <t>STDEV_BULL_SLOPE_BOOST_ENABLED</t>
        </is>
      </c>
      <c r="B8" s="0" t="inlineStr">
        <is>
          <t>False</t>
        </is>
      </c>
      <c r="C8"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ATR_ADAPTIVE_SIZING_TARGET_PCT</t>
        </is>
      </c>
      <c r="B3" s="0" t="inlineStr">
        <is>
          <t>1.0</t>
        </is>
      </c>
      <c r="G3" s="0">
        <f>IFERROR(VLOOKUP($A21&amp;"_"&amp;$B21,Results_Deltas!$A$2:$P$15000,5,FALSE),"")</f>
        <v/>
      </c>
      <c r="H3" s="0">
        <f>IFERROR(VLOOKUP($A21,Results_30d_Deltas!$A$2:$H$5000,7,FALSE)-E20,"")</f>
        <v/>
      </c>
      <c r="I3" s="0">
        <f>IFERROR(VLOOKUP($A21,Results_30d_Deltas!$A$2:$H$5000,6,FALSE),"")</f>
        <v/>
      </c>
      <c r="L3" s="0" t="inlineStr">
        <is>
          <t>NO</t>
        </is>
      </c>
      <c r="M3" s="0" t="n">
        <v>-5.226550689935686</v>
      </c>
      <c r="IK3" s="0" t="inlineStr">
        <is>
          <t>ez_manage.py:4327 top()</t>
        </is>
      </c>
      <c r="IL3" s="0" t="inlineStr">
        <is>
          <t>v12_quick_engine.py:1209 x7</t>
        </is>
      </c>
    </row>
    <row r="4" ht="10.5" customHeight="1" s="67">
      <c r="A4" s="0" t="inlineStr">
        <is>
          <t>ATR_ADAPTIVE_SIZING_TARGET_PCT</t>
        </is>
      </c>
      <c r="B4" s="0" t="inlineStr">
        <is>
          <t>2.5</t>
        </is>
      </c>
      <c r="G4" s="0">
        <f>IFERROR(VLOOKUP($A27&amp;"_"&amp;$B27,Results_Deltas!$A$2:$P$15000,5,FALSE),"")</f>
        <v/>
      </c>
      <c r="H4" s="0">
        <f>IFERROR(VLOOKUP($A27,Results_30d_Deltas!$A$2:$H$5000,7,FALSE)-E26,"")</f>
        <v/>
      </c>
      <c r="I4" s="0">
        <f>IFERROR(VLOOKUP($A27,Results_30d_Deltas!$A$2:$H$5000,6,FALSE),"")</f>
        <v/>
      </c>
      <c r="L4" s="0" t="inlineStr">
        <is>
          <t>NO</t>
        </is>
      </c>
      <c r="M4" s="0" t="n">
        <v>-5.097886563060814</v>
      </c>
      <c r="IK4" s="0" t="inlineStr">
        <is>
          <t>ez_manage.py:4327 top()</t>
        </is>
      </c>
      <c r="IL4" s="0" t="inlineStr">
        <is>
          <t>v12_quick_engine.py:1209 x7</t>
        </is>
      </c>
    </row>
    <row r="5" ht="10.5" customHeight="1" s="67">
      <c r="A5" s="0" t="inlineStr">
        <is>
          <t>ENTRY_SCORE_THRESHOLD</t>
        </is>
      </c>
      <c r="B5" s="0" t="inlineStr">
        <is>
          <t>9.0</t>
        </is>
      </c>
      <c r="G5" s="0">
        <f>IFERROR(VLOOKUP($A98&amp;"_"&amp;$B98,Results_Deltas!$A$2:$P$15000,5,FALSE),"")</f>
        <v/>
      </c>
      <c r="H5" s="0">
        <f>IFERROR(VLOOKUP($A98,Results_30d_Deltas!$A$2:$H$5000,7,FALSE)-E97,"")</f>
        <v/>
      </c>
      <c r="I5" s="0">
        <f>IFERROR(VLOOKUP($A98,Results_30d_Deltas!$A$2:$H$5000,6,FALSE),"")</f>
        <v/>
      </c>
      <c r="L5" s="0" t="inlineStr">
        <is>
          <t>NO</t>
        </is>
      </c>
      <c r="M5" s="0" t="n">
        <v>-3.647433351073238</v>
      </c>
      <c r="IK5" s="0" t="inlineStr">
        <is>
          <t>ez_manage.py:4644 top()</t>
        </is>
      </c>
      <c r="IL5" s="0" t="inlineStr">
        <is>
          <t>v12_quick_engine.py:3394 x9</t>
        </is>
      </c>
    </row>
    <row r="6" ht="10.5" customHeight="1" s="67">
      <c r="A6" s="0" t="inlineStr">
        <is>
          <t>DC_BREAKOUT_TF</t>
        </is>
      </c>
      <c r="B6" s="0" t="inlineStr">
        <is>
          <t>OFF</t>
        </is>
      </c>
      <c r="G6" s="0">
        <f>IFERROR(VLOOKUP($A77&amp;"="&amp;$B77,Results_Deltas!$A$2:$P$15000,5,FALSE),"")</f>
        <v/>
      </c>
      <c r="H6" s="0">
        <f>IFERROR(VLOOKUP($A77,Results_30d_Deltas!$A$2:$H$5000,7,FALSE)-E77,"")</f>
        <v/>
      </c>
      <c r="I6" s="0">
        <f>IFERROR(VLOOKUP($A77,Results_30d_Deltas!$A$2:$H$5000,6,FALSE),"")</f>
        <v/>
      </c>
      <c r="L6" s="0" t="inlineStr">
        <is>
          <t>NO</t>
        </is>
      </c>
      <c r="M6" s="0" t="n">
        <v>-3.78214323656721</v>
      </c>
      <c r="IK6" s="0" t="inlineStr">
        <is>
          <t>ez_manage.py:3078 top()</t>
        </is>
      </c>
      <c r="IL6" s="0" t="inlineStr">
        <is>
          <t>v12_quick_engine.py:1518 x5</t>
        </is>
      </c>
    </row>
    <row r="7" ht="10.5" customHeight="1" s="67">
      <c r="A7" s="0" t="inlineStr">
        <is>
          <t>DC_BREAKOUT_TF</t>
        </is>
      </c>
      <c r="B7" s="0" t="inlineStr">
        <is>
          <t>15m</t>
        </is>
      </c>
      <c r="G7" s="0">
        <f>IFERROR(VLOOKUP($A155&amp;"_"&amp;$B155,Results_Deltas!$A$2:$P$15000,5,FALSE),"")</f>
        <v/>
      </c>
      <c r="H7" s="0">
        <f>IFERROR(VLOOKUP($A155,Results_30d_Deltas!$A$2:$H$5000,7,FALSE)-E154,"")</f>
        <v/>
      </c>
      <c r="I7" s="0">
        <f>IFERROR(VLOOKUP($A155,Results_30d_Deltas!$A$2:$H$5000,6,FALSE),"")</f>
        <v/>
      </c>
      <c r="L7" s="0" t="inlineStr">
        <is>
          <t>NO</t>
        </is>
      </c>
      <c r="M7" s="0" t="n">
        <v>-1.144552193698301</v>
      </c>
      <c r="IK7" s="0" t="inlineStr">
        <is>
          <t>ez_manage.py:3078 top()</t>
        </is>
      </c>
      <c r="IL7" s="0" t="inlineStr">
        <is>
          <t>v12_quick_engine.py:1518 x5</t>
        </is>
      </c>
    </row>
    <row r="8" ht="10.5" customHeight="1" s="67">
      <c r="A8" s="0" t="inlineStr">
        <is>
          <t>V8_ENTRY_ENGINE_WT_ENABLED</t>
        </is>
      </c>
      <c r="B8" s="0" t="inlineStr">
        <is>
          <t>False</t>
        </is>
      </c>
      <c r="G8" s="0">
        <f>IFERROR(VLOOKUP($A124&amp;"_"&amp;$B124,Results_Deltas!$A$2:$P$15000,5,FALSE),"")</f>
        <v/>
      </c>
      <c r="H8" s="0">
        <f>IFERROR(VLOOKUP($A124,Results_30d_Deltas!$A$2:$H$5000,7,FALSE)-E123,"")</f>
        <v/>
      </c>
      <c r="I8" s="0">
        <f>IFERROR(VLOOKUP($A124,Results_30d_Deltas!$A$2:$H$5000,6,FALSE),"")</f>
        <v/>
      </c>
      <c r="L8" s="0" t="inlineStr">
        <is>
          <t>NO</t>
        </is>
      </c>
      <c r="M8" s="0" t="n">
        <v>-3.771222959968467</v>
      </c>
      <c r="IK8" s="0" t="inlineStr">
        <is>
          <t>ez_manage.py:6074 top()</t>
        </is>
      </c>
      <c r="IL8" s="0" t="inlineStr">
        <is>
          <t>v12_quick_engine.py:4286 x4</t>
        </is>
      </c>
    </row>
    <row r="9" ht="10.5" customHeight="1" s="67">
      <c r="A9" s="0" t="inlineStr">
        <is>
          <t>REVERSE_ON_EXIT_ENABLED</t>
        </is>
      </c>
      <c r="B9" s="0" t="inlineStr">
        <is>
          <t>True</t>
        </is>
      </c>
      <c r="G9" s="0">
        <f>IFERROR(VLOOKUP($A74&amp;"_"&amp;$B74,Results_Deltas!$A$2:$P$15000,5,FALSE),"")</f>
        <v/>
      </c>
      <c r="H9" s="0">
        <f>IFERROR(VLOOKUP($A74,Results_30d_Deltas!$A$2:$H$5000,7,FALSE)-E73,"")</f>
        <v/>
      </c>
      <c r="I9" s="0">
        <f>IFERROR(VLOOKUP($A74,Results_30d_Deltas!$A$2:$H$5000,6,FALSE),"")</f>
        <v/>
      </c>
      <c r="L9" s="0" t="inlineStr">
        <is>
          <t>NO</t>
        </is>
      </c>
      <c r="M9" s="0" t="n">
        <v>-3.962793853826305</v>
      </c>
      <c r="IK9" s="0" t="inlineStr">
        <is>
          <t>ez_manage.py:1219 top()</t>
        </is>
      </c>
      <c r="IL9" s="0" t="inlineStr">
        <is>
          <t>v12_quick_engine.py:1420 x3</t>
        </is>
      </c>
    </row>
    <row r="10" ht="10.5" customHeight="1" s="67">
      <c r="A10" s="0" t="inlineStr">
        <is>
          <t>REVERSE_ON_EXIT_ENABLED</t>
        </is>
      </c>
      <c r="B10" s="0" t="inlineStr">
        <is>
          <t>False</t>
        </is>
      </c>
      <c r="G10" s="0">
        <f>IFERROR(VLOOKUP($A175&amp;"_"&amp;$B175,Results_Deltas!$A$2:$P$15000,5,FALSE),"")</f>
        <v/>
      </c>
      <c r="H10" s="0">
        <f>IFERROR(VLOOKUP($A175,Results_30d_Deltas!$A$2:$H$5000,7,FALSE)-E174,"")</f>
        <v/>
      </c>
      <c r="I10" s="0">
        <f>IFERROR(VLOOKUP($A175,Results_30d_Deltas!$A$2:$H$5000,6,FALSE),"")</f>
        <v/>
      </c>
      <c r="L10" s="0" t="inlineStr">
        <is>
          <t>YES</t>
        </is>
      </c>
      <c r="M10" s="0" t="n">
        <v>-0.3949269625441762</v>
      </c>
      <c r="IK10" s="0" t="inlineStr">
        <is>
          <t>ez_manage.py:1219 top()</t>
        </is>
      </c>
      <c r="IL10" s="0" t="inlineStr">
        <is>
          <t>v12_quick_engine.py:1420 x3</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DC_BREAK_WAIT_WT15_CLOSE_ENABLED</t>
        </is>
      </c>
      <c r="B3" s="0" t="inlineStr">
        <is>
          <t>False</t>
        </is>
      </c>
      <c r="D3" s="0" t="inlineStr">
        <is>
          <t>DC_WAIT</t>
        </is>
      </c>
      <c r="E3" s="0">
        <f>IF(G184="",E183,IF(G184&gt;0,E183+G184,E183))</f>
        <v/>
      </c>
      <c r="F3" s="0">
        <f>IFERROR(VLOOKUP($A184&amp;"_"&amp;$B184,Results_Deltas!$A$2:$P$15000,5,FALSE),"")</f>
        <v/>
      </c>
      <c r="G3"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7"/>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STDEV_REJECT_EXIT_TF</t>
        </is>
      </c>
      <c r="B3" s="0" t="inlineStr">
        <is>
          <t>D</t>
        </is>
      </c>
      <c r="G3" s="0">
        <f>IFERROR(VLOOKUP($A45&amp;"_"&amp;$B45,Results_Deltas!$A$2:$P$15000,5,FALSE),"")</f>
        <v/>
      </c>
      <c r="H3" s="0">
        <f>IFERROR(VLOOKUP($A45,Results_30d_Deltas!$A$2:$H$5000,7,FALSE)-E44,"")</f>
        <v/>
      </c>
      <c r="I3" s="0">
        <f>IFERROR(VLOOKUP($A45,Results_30d_Deltas!$A$2:$H$5000,6,FALSE),"")</f>
        <v/>
      </c>
      <c r="L3" s="0" t="inlineStr">
        <is>
          <t>NO</t>
        </is>
      </c>
      <c r="IK3" s="0" t="inlineStr">
        <is>
          <t>ez_manage.py:4058 top()</t>
        </is>
      </c>
      <c r="IL3" s="0" t="inlineStr">
        <is>
          <t>v12_quick_engine.py:3298 x3</t>
        </is>
      </c>
    </row>
    <row r="4">
      <c r="A4" s="0" t="inlineStr">
        <is>
          <t>STDEV_REJECT_EXIT_TF</t>
        </is>
      </c>
      <c r="B4" s="0" t="inlineStr">
        <is>
          <t>1h</t>
        </is>
      </c>
      <c r="G4" s="0">
        <f>IFERROR(VLOOKUP($A47&amp;"_"&amp;$B47,Results_Deltas!$A$2:$P$15000,5,FALSE),"")</f>
        <v/>
      </c>
      <c r="H4" s="0">
        <f>IFERROR(VLOOKUP($A47,Results_30d_Deltas!$A$2:$H$5000,7,FALSE)-E46,"")</f>
        <v/>
      </c>
      <c r="I4" s="0">
        <f>IFERROR(VLOOKUP($A47,Results_30d_Deltas!$A$2:$H$5000,6,FALSE),"")</f>
        <v/>
      </c>
      <c r="L4" s="0" t="inlineStr">
        <is>
          <t>NO</t>
        </is>
      </c>
      <c r="IK4" s="0" t="inlineStr">
        <is>
          <t>ez_manage.py:4058 top()</t>
        </is>
      </c>
      <c r="IL4" s="0" t="inlineStr">
        <is>
          <t>v12_quick_engine.py:3298 x3</t>
        </is>
      </c>
    </row>
    <row r="5">
      <c r="A5" s="0" t="inlineStr">
        <is>
          <t>WT_15M_LH_WAIT_EXIT_ENABLED</t>
        </is>
      </c>
      <c r="B5" s="0" t="inlineStr">
        <is>
          <t>False</t>
        </is>
      </c>
      <c r="D5" s="0" t="inlineStr">
        <is>
          <t>WT_WAIT</t>
        </is>
      </c>
      <c r="E5" s="0">
        <f>IF(G259="",E258,IF(G259&gt;0,E258+G259,E258))</f>
        <v/>
      </c>
      <c r="F5" s="0">
        <f>IFERROR(VLOOKUP($A259&amp;"_"&amp;$B259,Results_Deltas!$A$2:$P$15000,5,FALSE),"")</f>
        <v/>
      </c>
      <c r="G5" s="0">
        <f>IFERROR(VLOOKUP($A259&amp;"_"&amp;$B259,Results_Deltas!$A$2:$P$15000,5,FALSE),"")</f>
        <v/>
      </c>
    </row>
    <row r="6">
      <c r="A6" s="0" t="inlineStr">
        <is>
          <t>WT_DIVERGENCE_VV_SHORT_EXIT_ENABLED</t>
        </is>
      </c>
      <c r="B6" s="0" t="inlineStr">
        <is>
          <t>False</t>
        </is>
      </c>
      <c r="D6" s="0" t="inlineStr">
        <is>
          <t>WT_WAIT</t>
        </is>
      </c>
      <c r="E6" s="0">
        <f>IF(G260="",E259,IF(G260&gt;0,E259+G260,E259))</f>
        <v/>
      </c>
      <c r="F6" s="0">
        <f>IFERROR(VLOOKUP($A260&amp;"_"&amp;$B260,Results_Deltas!$A$2:$P$15000,5,FALSE),"")</f>
        <v/>
      </c>
      <c r="G6" s="0">
        <f>IFERROR(VLOOKUP($A260&amp;"_"&amp;$B260,Results_Deltas!$A$2:$P$15000,5,FALSE),"")</f>
        <v/>
      </c>
    </row>
    <row r="7">
      <c r="A7" s="0" t="inlineStr">
        <is>
          <t>EXIT_BLOCKER_REQUIRE_LH_LL_ENABLED</t>
        </is>
      </c>
      <c r="B7" s="0"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BULL_HOLD_EXIT_DELAY_BARS</t>
        </is>
      </c>
      <c r="B8" s="0" t="inlineStr">
        <is>
          <t>0</t>
        </is>
      </c>
      <c r="C8" s="0" t="inlineStr">
        <is>
          <t>24</t>
        </is>
      </c>
    </row>
    <row r="9">
      <c r="A9" s="0" t="inlineStr">
        <is>
          <t>BULL_HOLD_EXIT_DELAY_BARS</t>
        </is>
      </c>
      <c r="B9" s="0" t="inlineStr">
        <is>
          <t>0</t>
        </is>
      </c>
      <c r="C9" s="0" t="inlineStr">
        <is>
          <t>48</t>
        </is>
      </c>
    </row>
    <row r="10">
      <c r="A10" s="0" t="inlineStr">
        <is>
          <t>WT_4H_VEL_EXIT_K_EXTREME_LOW</t>
        </is>
      </c>
      <c r="B10" s="0" t="inlineStr">
        <is>
          <t>2.0</t>
        </is>
      </c>
      <c r="G10" s="0">
        <f>IFERROR(VLOOKUP($A62&amp;"_"&amp;$B62,Results_Deltas!$A$2:$P$15000,5,FALSE),"")</f>
        <v/>
      </c>
      <c r="H10" s="0">
        <f>IFERROR(VLOOKUP($A62,Results_30d_Deltas!$A$2:$H$5000,7,FALSE)-E61,"")</f>
        <v/>
      </c>
      <c r="I10" s="0">
        <f>IFERROR(VLOOKUP($A62,Results_30d_Deltas!$A$2:$H$5000,6,FALSE),"")</f>
        <v/>
      </c>
      <c r="L10" s="0" t="inlineStr">
        <is>
          <t>NO</t>
        </is>
      </c>
      <c r="IK10" s="0" t="inlineStr">
        <is>
          <t>ez_manage.py:5878 top()</t>
        </is>
      </c>
      <c r="IL10" s="0" t="inlineStr">
        <is>
          <t>v12_quick_engine.py:3697 x5</t>
        </is>
      </c>
    </row>
    <row r="11">
      <c r="A11" s="0" t="inlineStr">
        <is>
          <t>WT_4H_VEL_EXIT_K_EXTREME_HIGH</t>
        </is>
      </c>
      <c r="B11" s="0" t="inlineStr">
        <is>
          <t>1.0</t>
        </is>
      </c>
      <c r="G11" s="0">
        <f>IFERROR(VLOOKUP($A57&amp;"_"&amp;$B57,Results_Deltas!$A$2:$P$15000,5,FALSE),"")</f>
        <v/>
      </c>
      <c r="H11" s="0">
        <f>IFERROR(VLOOKUP($A57,Results_30d_Deltas!$A$2:$H$5000,7,FALSE)-E56,"")</f>
        <v/>
      </c>
      <c r="I11" s="0">
        <f>IFERROR(VLOOKUP($A57,Results_30d_Deltas!$A$2:$H$5000,6,FALSE),"")</f>
        <v/>
      </c>
      <c r="L11" s="0" t="inlineStr">
        <is>
          <t>NO</t>
        </is>
      </c>
      <c r="IK11" s="0" t="inlineStr">
        <is>
          <t>ez_manage.py:5877 top()</t>
        </is>
      </c>
      <c r="IL11" s="0" t="inlineStr">
        <is>
          <t>v12_quick_engine.py:3696 x5</t>
        </is>
      </c>
    </row>
    <row r="12">
      <c r="A12" s="0" t="inlineStr">
        <is>
          <t>E_1_WT_EXIT_USE_DELTA_ENABLED</t>
        </is>
      </c>
      <c r="B12" s="0" t="inlineStr">
        <is>
          <t>True</t>
        </is>
      </c>
      <c r="G12" s="0">
        <f>IFERROR(VLOOKUP($A14&amp;"_"&amp;$B14,Results_Deltas!$A$2:$P$15000,5,FALSE),"")</f>
        <v/>
      </c>
      <c r="H12" s="0">
        <f>IFERROR(VLOOKUP($A14,Results_30d_Deltas!$A$2:$H$5000,7,FALSE)-E13,"")</f>
        <v/>
      </c>
      <c r="I12" s="0">
        <f>IFERROR(VLOOKUP($A14,Results_30d_Deltas!$A$2:$H$5000,6,FALSE),"")</f>
        <v/>
      </c>
      <c r="L12" s="0" t="inlineStr">
        <is>
          <t>NO</t>
        </is>
      </c>
      <c r="IK12" s="0" t="inlineStr">
        <is>
          <t>ez_manage.py:4699 top()</t>
        </is>
      </c>
      <c r="IL12" s="0" t="inlineStr">
        <is>
          <t>v12_quick_engine.py:1818 x7</t>
        </is>
      </c>
    </row>
    <row r="13">
      <c r="A13" s="0" t="inlineStr">
        <is>
          <t>WT_4H_VEL_EXIT_REQUIRE_PROFIT</t>
        </is>
      </c>
      <c r="B13" s="0" t="inlineStr">
        <is>
          <t>1.0</t>
        </is>
      </c>
      <c r="G13" s="0">
        <f>IFERROR(VLOOKUP($A69&amp;"_"&amp;$B69,Results_Deltas!$A$2:$P$15000,5,FALSE),"")</f>
        <v/>
      </c>
      <c r="H13" s="0">
        <f>IFERROR(VLOOKUP($A69,Results_30d_Deltas!$A$2:$H$5000,7,FALSE)-E68,"")</f>
        <v/>
      </c>
      <c r="I13" s="0">
        <f>IFERROR(VLOOKUP($A69,Results_30d_Deltas!$A$2:$H$5000,6,FALSE),"")</f>
        <v/>
      </c>
      <c r="L13" s="0" t="inlineStr">
        <is>
          <t>NO</t>
        </is>
      </c>
      <c r="IK13" s="0" t="inlineStr">
        <is>
          <t>ez_manage.py:5881 top()</t>
        </is>
      </c>
      <c r="IL13" s="0" t="inlineStr">
        <is>
          <t>v12_quick_engine.py:3700 x5</t>
        </is>
      </c>
    </row>
    <row r="14">
      <c r="A14" s="0" t="inlineStr">
        <is>
          <t>BB_SQUEEZE_EXIT_ENABLED</t>
        </is>
      </c>
      <c r="B14" s="0" t="inlineStr">
        <is>
          <t>True</t>
        </is>
      </c>
      <c r="G14" s="0">
        <f>IFERROR(VLOOKUP($A6&amp;"_"&amp;$B6,Results_Deltas!$A$2:$P$15000,5,FALSE),"")</f>
        <v/>
      </c>
      <c r="H14" s="0">
        <f>IFERROR(VLOOKUP($A6,Results_30d_Deltas!$A$2:$H$5000,7,FALSE)-E5,"")</f>
        <v/>
      </c>
      <c r="I14" s="0">
        <f>IFERROR(VLOOKUP($A6,Results_30d_Deltas!$A$2:$H$5000,6,FALSE),"")</f>
        <v/>
      </c>
      <c r="L14" s="0" t="inlineStr">
        <is>
          <t>NO</t>
        </is>
      </c>
      <c r="IK14" s="0" t="inlineStr">
        <is>
          <t>ez_manage.py:6163 top()</t>
        </is>
      </c>
      <c r="IL14" s="0" t="inlineStr">
        <is>
          <t>v12_quick_engine.py:891 x4</t>
        </is>
      </c>
    </row>
    <row r="15">
      <c r="A15" s="0" t="inlineStr">
        <is>
          <t>WT_4H_VEL_EXIT_ENABLED</t>
        </is>
      </c>
      <c r="B15" s="0" t="inlineStr">
        <is>
          <t>True</t>
        </is>
      </c>
      <c r="G15" s="0">
        <f>IFERROR(VLOOKUP($A54&amp;"_"&amp;$B54,Results_Deltas!$A$2:$P$15000,5,FALSE),"")</f>
        <v/>
      </c>
      <c r="H15" s="0">
        <f>IFERROR(VLOOKUP($A54,Results_30d_Deltas!$A$2:$H$5000,7,FALSE)-E53,"")</f>
        <v/>
      </c>
      <c r="I15" s="0">
        <f>IFERROR(VLOOKUP($A54,Results_30d_Deltas!$A$2:$H$5000,6,FALSE),"")</f>
        <v/>
      </c>
      <c r="L15" s="0" t="inlineStr">
        <is>
          <t>NO</t>
        </is>
      </c>
      <c r="IK15" s="0" t="inlineStr">
        <is>
          <t>ez_manage.py:5876 top()</t>
        </is>
      </c>
      <c r="IL15" s="0" t="inlineStr">
        <is>
          <t>v12_quick_engine.py:3695 x5</t>
        </is>
      </c>
    </row>
    <row r="16">
      <c r="A16" s="0" t="inlineStr">
        <is>
          <t>SCALP_V3_PROTECTIVE_EXIT_ENABLED</t>
        </is>
      </c>
      <c r="B16" s="0" t="inlineStr">
        <is>
          <t>True</t>
        </is>
      </c>
      <c r="G16" s="0">
        <f>IFERROR(VLOOKUP($A43&amp;"_"&amp;$B43,Results_Deltas!$A$2:$P$15000,5,FALSE),"")</f>
        <v/>
      </c>
      <c r="H16" s="0">
        <f>IFERROR(VLOOKUP($A43,Results_30d_Deltas!$A$2:$H$5000,7,FALSE)-E42,"")</f>
        <v/>
      </c>
      <c r="I16" s="0">
        <f>IFERROR(VLOOKUP($A43,Results_30d_Deltas!$A$2:$H$5000,6,FALSE),"")</f>
        <v/>
      </c>
      <c r="L16" s="0" t="inlineStr">
        <is>
          <t>NO</t>
        </is>
      </c>
      <c r="IK16" s="0" t="inlineStr">
        <is>
          <t>ez_manage.py:5586 top()</t>
        </is>
      </c>
      <c r="IL16" s="0" t="inlineStr">
        <is>
          <t>v12_quick_engine.py:3192 x4</t>
        </is>
      </c>
    </row>
    <row r="17">
      <c r="A17" s="0" t="inlineStr">
        <is>
          <t>RULE_B_3M_EXIT_ENABLED</t>
        </is>
      </c>
      <c r="B17" s="0" t="inlineStr">
        <is>
          <t>True</t>
        </is>
      </c>
      <c r="G17" s="0">
        <f>IFERROR(VLOOKUP($A39&amp;"_"&amp;$B39,Results_Deltas!$A$2:$P$15000,5,FALSE),"")</f>
        <v/>
      </c>
      <c r="H17" s="0">
        <f>IFERROR(VLOOKUP($A39,Results_30d_Deltas!$A$2:$H$5000,7,FALSE)-E38,"")</f>
        <v/>
      </c>
      <c r="I17" s="0">
        <f>IFERROR(VLOOKUP($A39,Results_30d_Deltas!$A$2:$H$5000,6,FALSE),"")</f>
        <v/>
      </c>
      <c r="L17" s="0" t="inlineStr">
        <is>
          <t>NO</t>
        </is>
      </c>
      <c r="IK17" s="0" t="inlineStr">
        <is>
          <t>ez_manage.py:5395 top()</t>
        </is>
      </c>
      <c r="IL17" s="0" t="inlineStr">
        <is>
          <t>v12_quick_engine.py:3009 x4</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CHANNEL_REENTRY_STOP_ENABLED</t>
        </is>
      </c>
      <c r="B3" s="0" t="inlineStr">
        <is>
          <t>True</t>
        </is>
      </c>
      <c r="G3" s="0">
        <f>IFERROR(VLOOKUP($A22&amp;"_"&amp;$B22,Results_Deltas!$A$2:$P$15000,5,FALSE),"")</f>
        <v/>
      </c>
      <c r="H3" s="0">
        <f>IFERROR(VLOOKUP($A22,Results_30d_Deltas!$A$2:$H$5000,7,FALSE)-E21,"")</f>
        <v/>
      </c>
      <c r="I3" s="0">
        <f>IFERROR(VLOOKUP($A22,Results_30d_Deltas!$A$2:$H$5000,6,FALSE),"")</f>
        <v/>
      </c>
      <c r="L3" s="0" t="inlineStr">
        <is>
          <t>NO</t>
        </is>
      </c>
      <c r="M3" s="0" t="n">
        <v>-2.093686938119209</v>
      </c>
      <c r="IL3" s="0" t="inlineStr">
        <is>
          <t>ez_manage.py:5968 top()</t>
        </is>
      </c>
      <c r="IM3" s="0" t="inlineStr">
        <is>
          <t>v12_quick_engine.py:482 x8</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AUGMENT_MIN_GAIN_PCT</t>
        </is>
      </c>
      <c r="B3" s="0" t="inlineStr">
        <is>
          <t>0.5</t>
        </is>
      </c>
      <c r="G3" s="0">
        <f>IFERROR(VLOOKUP($A24&amp;"_"&amp;$B24,Results_Deltas!$A$2:$P$15000,5,FALSE),"")</f>
        <v/>
      </c>
      <c r="H3" s="0">
        <f>IFERROR(VLOOKUP($A24,Results_30d_Deltas!$A$2:$H$5000,7,FALSE)-E23,"")</f>
        <v/>
      </c>
      <c r="I3" s="0">
        <f>IFERROR(VLOOKUP($A24,Results_30d_Deltas!$A$2:$H$5000,6,FALSE),"")</f>
        <v/>
      </c>
      <c r="L3" s="0" t="inlineStr">
        <is>
          <t>NO</t>
        </is>
      </c>
      <c r="M3" s="0" t="n">
        <v>-0.8687196370388788</v>
      </c>
      <c r="IK3" s="0" t="inlineStr">
        <is>
          <t>ez_manage.py:30417 top()</t>
        </is>
      </c>
      <c r="IL3" s="0" t="inlineStr">
        <is>
          <t>v12_quick_engine.py:4874 x5</t>
        </is>
      </c>
    </row>
    <row r="4" ht="10.5" customHeight="1" s="67">
      <c r="A4" s="0" t="inlineStr">
        <is>
          <t>AUGMENT_BOUNCE_MIN_GAIN_PCT</t>
        </is>
      </c>
      <c r="B4" s="0" t="inlineStr">
        <is>
          <t>0.5</t>
        </is>
      </c>
      <c r="G4" s="0">
        <f>IFERROR(VLOOKUP($A25&amp;"_"&amp;$B25,Results_Deltas!$A$2:$P$15000,5,FALSE),"")</f>
        <v/>
      </c>
      <c r="H4" s="0">
        <f>IFERROR(VLOOKUP($A25,Results_30d_Deltas!$A$2:$H$5000,7,FALSE)-E24,"")</f>
        <v/>
      </c>
      <c r="I4" s="0">
        <f>IFERROR(VLOOKUP($A25,Results_30d_Deltas!$A$2:$H$5000,6,FALSE),"")</f>
        <v/>
      </c>
      <c r="L4" s="0" t="inlineStr">
        <is>
          <t>YES</t>
        </is>
      </c>
      <c r="M4" s="0" t="n">
        <v>-0.86784638372116</v>
      </c>
      <c r="IK4" s="0" t="inlineStr">
        <is>
          <t>ez_manage.py:56856 top()</t>
        </is>
      </c>
      <c r="IL4" s="0" t="inlineStr">
        <is>
          <t>v12_quick_engine.py:4872 x2</t>
        </is>
      </c>
    </row>
    <row r="5" ht="10.5" customHeight="1" s="67">
      <c r="A5" s="0" t="inlineStr">
        <is>
          <t>BOUNCE_AUGMENT_MIN_LOSS_PCT</t>
        </is>
      </c>
      <c r="B5" s="0" t="inlineStr">
        <is>
          <t>-0.625</t>
        </is>
      </c>
      <c r="G5" s="0">
        <f>IFERROR(VLOOKUP($A20&amp;"_"&amp;$B20,Results_Deltas!$A$2:$P$15000,5,FALSE),"")</f>
        <v/>
      </c>
      <c r="H5" s="0">
        <f>IFERROR(VLOOKUP($A20,Results_30d_Deltas!$A$2:$H$5000,7,FALSE)-E19,"")</f>
        <v/>
      </c>
      <c r="I5" s="0">
        <f>IFERROR(VLOOKUP($A20,Results_30d_Deltas!$A$2:$H$5000,6,FALSE),"")</f>
        <v/>
      </c>
      <c r="L5" s="0" t="inlineStr">
        <is>
          <t>NO</t>
        </is>
      </c>
      <c r="M5" s="0" t="n">
        <v>-2.060599099951949</v>
      </c>
      <c r="IK5" s="0" t="inlineStr">
        <is>
          <t>ez_manage.py:4390 top()</t>
        </is>
      </c>
      <c r="IL5" s="0" t="inlineStr">
        <is>
          <t>v12_quick_engine.py:1310 x9</t>
        </is>
      </c>
    </row>
    <row r="6" ht="10.5" customHeight="1" s="67">
      <c r="A6" s="0" t="inlineStr">
        <is>
          <t>AUGMENT_BULL_KILL_ENABLED</t>
        </is>
      </c>
      <c r="B6" s="0" t="inlineStr">
        <is>
          <t>False</t>
        </is>
      </c>
      <c r="C6" s="0"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MAX_AUGMENTS_PER_POSITION</t>
        </is>
      </c>
      <c r="B3" s="0" t="inlineStr">
        <is>
          <t>5</t>
        </is>
      </c>
      <c r="G3" s="0">
        <f>IFERROR(VLOOKUP($A13&amp;"_"&amp;$B13,Results_Deltas!$A$2:$P$15000,5,FALSE),"")</f>
        <v/>
      </c>
      <c r="H3" s="0">
        <f>IFERROR(VLOOKUP($A13,Results_30d_Deltas!$A$2:$H$5000,7,FALSE)-E12,"")</f>
        <v/>
      </c>
      <c r="I3" s="0">
        <f>IFERROR(VLOOKUP($A13,Results_30d_Deltas!$A$2:$H$5000,6,FALSE),"")</f>
        <v/>
      </c>
      <c r="L3" s="0" t="inlineStr">
        <is>
          <t>NO</t>
        </is>
      </c>
      <c r="M3" s="0" t="n">
        <v>-2.727188947662457</v>
      </c>
      <c r="IK3" s="0" t="inlineStr">
        <is>
          <t>ez_manage.py:3521 top()</t>
        </is>
      </c>
      <c r="IL3" s="0" t="inlineStr">
        <is>
          <t>v12_quick_engine.py:2267 x7</t>
        </is>
      </c>
    </row>
    <row r="4" ht="10.5" customHeight="1" s="67">
      <c r="A4" s="0" t="inlineStr">
        <is>
          <t>MAX_AUGMENTS_PER_POSITION</t>
        </is>
      </c>
      <c r="B4" s="0" t="inlineStr">
        <is>
          <t>2</t>
        </is>
      </c>
      <c r="G4" s="0">
        <f>IFERROR(VLOOKUP($A14&amp;"_"&amp;$B14,Results_Deltas!$A$2:$P$15000,5,FALSE),"")</f>
        <v/>
      </c>
      <c r="H4" s="0">
        <f>IFERROR(VLOOKUP($A14,Results_30d_Deltas!$A$2:$H$5000,7,FALSE)-E13,"")</f>
        <v/>
      </c>
      <c r="I4" s="0">
        <f>IFERROR(VLOOKUP($A14,Results_30d_Deltas!$A$2:$H$5000,6,FALSE),"")</f>
        <v/>
      </c>
      <c r="L4" s="0" t="inlineStr">
        <is>
          <t>NO</t>
        </is>
      </c>
      <c r="M4" s="0" t="n">
        <v>-2.664335480041505</v>
      </c>
      <c r="IK4" s="0" t="inlineStr">
        <is>
          <t>ez_manage.py:3521 top()</t>
        </is>
      </c>
      <c r="IL4" s="0" t="inlineStr">
        <is>
          <t>v12_quick_engine.py:2267 x7</t>
        </is>
      </c>
    </row>
    <row r="5" ht="10.5" customHeight="1" s="67">
      <c r="A5" s="0" t="inlineStr">
        <is>
          <t>MAX_AUGMENTS_PER_POSITION</t>
        </is>
      </c>
      <c r="B5" s="0" t="inlineStr">
        <is>
          <t>1</t>
        </is>
      </c>
      <c r="G5" s="0">
        <f>IFERROR(VLOOKUP($A20&amp;"_"&amp;$B20,Results_Deltas!$A$2:$P$15000,5,FALSE),"")</f>
        <v/>
      </c>
      <c r="H5" s="0">
        <f>IFERROR(VLOOKUP($A20,Results_30d_Deltas!$A$2:$H$5000,7,FALSE)-E19,"")</f>
        <v/>
      </c>
      <c r="I5" s="0">
        <f>IFERROR(VLOOKUP($A20,Results_30d_Deltas!$A$2:$H$5000,6,FALSE),"")</f>
        <v/>
      </c>
      <c r="L5" s="0" t="inlineStr">
        <is>
          <t>NO</t>
        </is>
      </c>
      <c r="M5" s="0" t="n">
        <v>-2.428130097538838</v>
      </c>
      <c r="IK5" s="0" t="inlineStr">
        <is>
          <t>ez_manage.py:3521 top()</t>
        </is>
      </c>
      <c r="IL5" s="0" t="inlineStr">
        <is>
          <t>v12_quick_engine.py:2267 x7</t>
        </is>
      </c>
    </row>
    <row r="6" ht="10.5" customHeight="1" s="67">
      <c r="A6" s="0" t="inlineStr">
        <is>
          <t>MAX_AUGMENTS_PER_POSITION</t>
        </is>
      </c>
      <c r="B6" s="0" t="inlineStr">
        <is>
          <t>0</t>
        </is>
      </c>
      <c r="G6" s="0">
        <f>IFERROR(VLOOKUP($A39&amp;"_"&amp;$B39,Results_Deltas!$A$2:$P$15000,5,FALSE),"")</f>
        <v/>
      </c>
      <c r="H6" s="0">
        <f>IFERROR(VLOOKUP($A39,Results_30d_Deltas!$A$2:$H$5000,7,FALSE)-E38,"")</f>
        <v/>
      </c>
      <c r="I6" s="0">
        <f>IFERROR(VLOOKUP($A39,Results_30d_Deltas!$A$2:$H$5000,6,FALSE),"")</f>
        <v/>
      </c>
      <c r="L6" s="0" t="inlineStr">
        <is>
          <t>NO</t>
        </is>
      </c>
      <c r="M6" s="0" t="n">
        <v>-0.699311460845238</v>
      </c>
      <c r="IK6" s="0" t="inlineStr">
        <is>
          <t>ez_manage.py:3521 top()</t>
        </is>
      </c>
      <c r="IL6" s="0" t="inlineStr">
        <is>
          <t>v12_quick_engine.py:2267 x7</t>
        </is>
      </c>
    </row>
    <row r="7" ht="10.5" customHeight="1" s="67">
      <c r="A7" s="0" t="inlineStr">
        <is>
          <t>MAX_AUGMENTS_PER_POSITION</t>
        </is>
      </c>
      <c r="B7" s="0" t="inlineStr">
        <is>
          <t>999999</t>
        </is>
      </c>
      <c r="C7" s="0" t="inlineStr">
        <is>
          <t>0</t>
        </is>
      </c>
    </row>
    <row r="8" ht="10.5" customHeight="1" s="67">
      <c r="A8" s="0" t="inlineStr">
        <is>
          <t>MAX_AUGMENTS_PER_POSITION</t>
        </is>
      </c>
      <c r="B8" s="0" t="inlineStr">
        <is>
          <t>10</t>
        </is>
      </c>
      <c r="C8" s="0" t="n"/>
    </row>
    <row r="9" ht="10.5" customHeight="1" s="67">
      <c r="A9" s="0" t="inlineStr">
        <is>
          <t>AUGMENT_BULL_KILL_ENABLED</t>
        </is>
      </c>
      <c r="B9" s="0" t="inlineStr">
        <is>
          <t>False</t>
        </is>
      </c>
      <c r="C9" s="0" t="inlineStr">
        <is>
          <t>True</t>
        </is>
      </c>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WT_PERCENTILE_ENTRY_OB_D</t>
        </is>
      </c>
      <c r="B3" s="0" t="inlineStr">
        <is>
          <t>112.5</t>
        </is>
      </c>
      <c r="G3" s="0">
        <f>IFERROR(VLOOKUP($A30&amp;"_"&amp;$B30,Results_Deltas!$A$2:$P$15000,5,FALSE),"")</f>
        <v/>
      </c>
      <c r="H3" s="0">
        <f>IFERROR(VLOOKUP($A30,Results_30d_Deltas!$A$2:$H$5000,7,FALSE)-E29,"")</f>
        <v/>
      </c>
      <c r="I3" s="0">
        <f>IFERROR(VLOOKUP($A30,Results_30d_Deltas!$A$2:$H$5000,6,FALSE),"")</f>
        <v/>
      </c>
      <c r="L3" s="0" t="inlineStr">
        <is>
          <t>YES</t>
        </is>
      </c>
      <c r="M3" s="0" t="n">
        <v>-2.915219023489065</v>
      </c>
      <c r="IK3" s="0" t="inlineStr">
        <is>
          <t>ez_manage.py:5925 top()</t>
        </is>
      </c>
      <c r="IL3" s="0" t="inlineStr">
        <is>
          <t>v12_quick_engine.py:3765 x2</t>
        </is>
      </c>
    </row>
    <row r="4" ht="10.5" customHeight="1" s="67">
      <c r="A4" s="0" t="inlineStr">
        <is>
          <t>QUICK_REDUCE_TECHNICAL_ONLY</t>
        </is>
      </c>
      <c r="B4" s="0" t="inlineStr">
        <is>
          <t>1.0</t>
        </is>
      </c>
      <c r="G4" s="0">
        <f>IFERROR(VLOOKUP($A104&amp;"_"&amp;$B104,Results_Deltas!$A$2:$P$15000,5,FALSE),"")</f>
        <v/>
      </c>
      <c r="H4" s="0">
        <f>IFERROR(VLOOKUP($A104,Results_30d_Deltas!$A$2:$H$5000,7,FALSE)-E103,"")</f>
        <v/>
      </c>
      <c r="I4" s="0">
        <f>IFERROR(VLOOKUP($A104,Results_30d_Deltas!$A$2:$H$5000,6,FALSE),"")</f>
        <v/>
      </c>
      <c r="L4" s="0" t="inlineStr">
        <is>
          <t>NO</t>
        </is>
      </c>
      <c r="M4" s="0" t="n">
        <v>-1.330701692355234</v>
      </c>
      <c r="IK4" s="0" t="inlineStr">
        <is>
          <t>ez_manage.py:5218 top()</t>
        </is>
      </c>
      <c r="IL4" s="0" t="inlineStr">
        <is>
          <t>v12_quick_engine.py:2747 x2</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EXECUTE_NOW_MAX_MARK_AGE_S</t>
        </is>
      </c>
      <c r="B3" s="0" t="inlineStr">
        <is>
          <t>75.0</t>
        </is>
      </c>
      <c r="G3" s="0">
        <f>IFERROR(VLOOKUP($A18&amp;"_"&amp;$B18,Results_Deltas!$A$2:$P$15000,5,FALSE),"")</f>
        <v/>
      </c>
      <c r="H3" s="0">
        <f>IFERROR(VLOOKUP($A18,Results_30d_Deltas!$A$2:$H$5000,7,FALSE)-E17,"")</f>
        <v/>
      </c>
      <c r="I3" s="0">
        <f>IFERROR(VLOOKUP($A18,Results_30d_Deltas!$A$2:$H$5000,6,FALSE),"")</f>
        <v/>
      </c>
      <c r="L3" s="0" t="inlineStr">
        <is>
          <t>NO</t>
        </is>
      </c>
      <c r="M3" s="0" t="n">
        <v>-2.357541555795288</v>
      </c>
      <c r="IK3" s="0" t="inlineStr">
        <is>
          <t>ez_manage.py:4656 top()</t>
        </is>
      </c>
      <c r="IL3" s="0" t="inlineStr">
        <is>
          <t>v12_quick_engine.py:3868 x1</t>
        </is>
      </c>
    </row>
    <row r="4" ht="10.5" customHeight="1" s="67">
      <c r="A4" s="0" t="inlineStr">
        <is>
          <t>COUNTER_TREND_ADD_BLOCK_ENABLED</t>
        </is>
      </c>
      <c r="B4" s="0" t="inlineStr">
        <is>
          <t>False</t>
        </is>
      </c>
      <c r="G4" s="0">
        <f>IFERROR(VLOOKUP($A19&amp;"_"&amp;$B19,Results_Deltas!$A$2:$P$15000,5,FALSE),"")</f>
        <v/>
      </c>
      <c r="H4" s="0">
        <f>IFERROR(VLOOKUP($A19,Results_30d_Deltas!$A$2:$H$5000,7,FALSE)-E18,"")</f>
        <v/>
      </c>
      <c r="I4" s="0">
        <f>IFERROR(VLOOKUP($A19,Results_30d_Deltas!$A$2:$H$5000,6,FALSE),"")</f>
        <v/>
      </c>
      <c r="L4" s="0" t="inlineStr">
        <is>
          <t>NO</t>
        </is>
      </c>
      <c r="M4" s="0" t="n">
        <v>-2.102136099799269</v>
      </c>
      <c r="IK4" s="0" t="inlineStr">
        <is>
          <t>ez_manage.py:3055 top()</t>
        </is>
      </c>
      <c r="IL4" s="0" t="inlineStr">
        <is>
          <t>v12_quick_engine.py:1469 x2</t>
        </is>
      </c>
    </row>
    <row r="5" ht="10.5" customHeight="1" s="67">
      <c r="A5" s="0" t="inlineStr">
        <is>
          <t>COUNTER_TREND_SMA200_BYPASS_ENABLED</t>
        </is>
      </c>
      <c r="B5" s="0" t="inlineStr">
        <is>
          <t>False</t>
        </is>
      </c>
      <c r="G5" s="0">
        <f>IFERROR(VLOOKUP($A28&amp;"_"&amp;$B28,Results_Deltas!$A$2:$P$15000,5,FALSE),"")</f>
        <v/>
      </c>
      <c r="H5" s="0">
        <f>IFERROR(VLOOKUP($A28,Results_30d_Deltas!$A$2:$H$5000,7,FALSE)-E27,"")</f>
        <v/>
      </c>
      <c r="I5" s="0">
        <f>IFERROR(VLOOKUP($A28,Results_30d_Deltas!$A$2:$H$5000,6,FALSE),"")</f>
        <v/>
      </c>
      <c r="L5" s="0" t="inlineStr">
        <is>
          <t>NO</t>
        </is>
      </c>
      <c r="M5" s="0" t="n">
        <v>-1.288245093233959</v>
      </c>
      <c r="IK5" s="0" t="inlineStr">
        <is>
          <t>ez_manage.py:3056 top()</t>
        </is>
      </c>
      <c r="IL5" s="0" t="inlineStr">
        <is>
          <t>v12_quick_engine.py:1470 x6</t>
        </is>
      </c>
    </row>
    <row r="6" ht="10.5" customHeight="1" s="67">
      <c r="A6" s="0" t="inlineStr">
        <is>
          <t>UNIVERSAL_NOLOSS_GATE</t>
        </is>
      </c>
      <c r="B6" s="0" t="inlineStr">
        <is>
          <t>True</t>
        </is>
      </c>
      <c r="G6" s="0">
        <f>IFERROR(VLOOKUP($A24&amp;"_"&amp;$B24,Results_Deltas!$A$2:$P$15000,5,FALSE),"")</f>
        <v/>
      </c>
      <c r="H6" s="0">
        <f>IFERROR(VLOOKUP($A24,Results_30d_Deltas!$A$2:$H$5000,7,FALSE)-E23,"")</f>
        <v/>
      </c>
      <c r="I6" s="0">
        <f>IFERROR(VLOOKUP($A24,Results_30d_Deltas!$A$2:$H$5000,6,FALSE),"")</f>
        <v/>
      </c>
      <c r="L6" s="0" t="inlineStr">
        <is>
          <t>NO</t>
        </is>
      </c>
      <c r="M6" s="0" t="n">
        <v>-1.400646119139731</v>
      </c>
      <c r="IK6" s="0" t="inlineStr">
        <is>
          <t>ez_manage.py:4233 top()</t>
        </is>
      </c>
      <c r="IL6" s="0" t="inlineStr">
        <is>
          <t>v12_quick_engine.py:837 x18</t>
        </is>
      </c>
    </row>
    <row r="7" ht="10.5" customHeight="1" s="67">
      <c r="A7" s="0" t="inlineStr">
        <is>
          <t>UNIVERSAL_NOLOSS_GATE</t>
        </is>
      </c>
      <c r="B7" s="0" t="inlineStr">
        <is>
          <t>False</t>
        </is>
      </c>
      <c r="G7" s="0">
        <f>IFERROR(VLOOKUP($A36&amp;"="&amp;$B36,Results_Deltas!$A$2:$P$15000,5,FALSE),"")</f>
        <v/>
      </c>
      <c r="H7" s="0">
        <f>IFERROR(VLOOKUP($A36,Results_30d_Deltas!$A$2:$H$5000,7,FALSE)-E36,"")</f>
        <v/>
      </c>
      <c r="I7" s="0">
        <f>IFERROR(VLOOKUP($A36,Results_30d_Deltas!$A$2:$H$5000,6,FALSE),"")</f>
        <v/>
      </c>
      <c r="L7" s="0" t="inlineStr">
        <is>
          <t>YES</t>
        </is>
      </c>
      <c r="M7" s="0" t="n">
        <v>0.05033770428357402</v>
      </c>
      <c r="IK7" s="0" t="inlineStr">
        <is>
          <t>ez_manage.py:4233 top()</t>
        </is>
      </c>
      <c r="IL7" s="0" t="inlineStr">
        <is>
          <t>v12_quick_engine.py:837 x18</t>
        </is>
      </c>
    </row>
    <row r="8" ht="10.5" customHeight="1" s="67">
      <c r="A8" s="0" t="inlineStr">
        <is>
          <t>UNIVERSAL_NOLOSS_GATE</t>
        </is>
      </c>
      <c r="B8" s="0" t="inlineStr">
        <is>
          <t>False</t>
        </is>
      </c>
      <c r="G8" s="0">
        <f>IFERROR(VLOOKUP($A55&amp;"_"&amp;$B55,Results_Deltas!$A$2:$P$15000,5,FALSE),"")</f>
        <v/>
      </c>
      <c r="H8" s="0">
        <f>IFERROR(VLOOKUP($A56,Results_30d_Deltas!$A$2:$H$5000,7,FALSE)-E-155,"")</f>
        <v/>
      </c>
      <c r="I8" s="0">
        <f>IFERROR(VLOOKUP($A56,Results_30d_Deltas!$A$2:$H$5000,6,FALSE),"")</f>
        <v/>
      </c>
      <c r="L8" s="0" t="inlineStr">
        <is>
          <t>YES</t>
        </is>
      </c>
      <c r="M8" s="0" t="n">
        <v>0.05033770428357402</v>
      </c>
      <c r="IK8" s="0" t="inlineStr">
        <is>
          <t>ez_manage.py:4233 top()</t>
        </is>
      </c>
      <c r="IL8" s="0" t="inlineStr">
        <is>
          <t>v12_quick_engine.py:837 x18</t>
        </is>
      </c>
    </row>
    <row r="9" ht="10.5" customHeight="1" s="67">
      <c r="A9" s="0" t="inlineStr">
        <is>
          <t>OPEN_RATE_MAX</t>
        </is>
      </c>
      <c r="B9" s="0" t="inlineStr">
        <is>
          <t>15</t>
        </is>
      </c>
      <c r="G9" s="0">
        <f>IFERROR(VLOOKUP($A26&amp;"_"&amp;$B26,Results_Deltas!$A$2:$P$15000,5,FALSE),"")</f>
        <v/>
      </c>
      <c r="H9" s="0">
        <f>IFERROR(VLOOKUP($A26,Results_30d_Deltas!$A$2:$H$5000,7,FALSE)-E25,"")</f>
        <v/>
      </c>
      <c r="I9" s="0">
        <f>IFERROR(VLOOKUP($A26,Results_30d_Deltas!$A$2:$H$5000,6,FALSE),"")</f>
        <v/>
      </c>
      <c r="L9" s="0" t="inlineStr">
        <is>
          <t>NO</t>
        </is>
      </c>
      <c r="M9" s="0" t="n">
        <v>-1.521968831913449</v>
      </c>
      <c r="IK9" s="0" t="inlineStr">
        <is>
          <t>ez_manage.py:5142 top()</t>
        </is>
      </c>
      <c r="IL9" s="0" t="inlineStr">
        <is>
          <t>v12_quick_engine.py:2539 x1</t>
        </is>
      </c>
    </row>
    <row r="10" ht="10.5" customHeight="1" s="67">
      <c r="A10" s="0" t="inlineStr">
        <is>
          <t>OPEN_RATE_BREAKER_ENABLED</t>
        </is>
      </c>
      <c r="B10" s="0" t="inlineStr">
        <is>
          <t>False</t>
        </is>
      </c>
      <c r="G10" s="0">
        <f>IFERROR(VLOOKUP($A25&amp;"_"&amp;$B25,Results_Deltas!$A$2:$P$15000,5,FALSE),"")</f>
        <v/>
      </c>
      <c r="H10" s="0">
        <f>IFERROR(VLOOKUP($A25,Results_30d_Deltas!$A$2:$H$5000,7,FALSE)-E24,"")</f>
        <v/>
      </c>
      <c r="I10" s="0">
        <f>IFERROR(VLOOKUP($A25,Results_30d_Deltas!$A$2:$H$5000,6,FALSE),"")</f>
        <v/>
      </c>
      <c r="L10" s="0" t="inlineStr">
        <is>
          <t>NO</t>
        </is>
      </c>
      <c r="M10" s="0" t="n">
        <v>-1.648363718523859</v>
      </c>
      <c r="IK10" s="0" t="inlineStr">
        <is>
          <t>ez_manage.py:5141 top()</t>
        </is>
      </c>
      <c r="IL10" s="0" t="inlineStr">
        <is>
          <t>v12_quick_engine.py:2538 x1</t>
        </is>
      </c>
    </row>
    <row r="11" ht="10.5" customHeight="1" s="67">
      <c r="A11" s="0" t="inlineStr">
        <is>
          <t>OPEN_RATE_BREAKER_ENABLED</t>
        </is>
      </c>
      <c r="B11" s="0" t="inlineStr">
        <is>
          <t>True</t>
        </is>
      </c>
      <c r="G11" s="0">
        <f>IFERROR(VLOOKUP($A37&amp;"_"&amp;$B37,Results_Deltas!$A$2:$P$15000,5,FALSE),"")</f>
        <v/>
      </c>
      <c r="H11" s="0">
        <f>IFERROR(VLOOKUP($A37,Results_30d_Deltas!$A$2:$H$5000,7,FALSE)-E36,"")</f>
        <v/>
      </c>
      <c r="I11" s="0">
        <f>IFERROR(VLOOKUP($A37,Results_30d_Deltas!$A$2:$H$5000,6,FALSE),"")</f>
        <v/>
      </c>
      <c r="L11" s="0" t="inlineStr">
        <is>
          <t>YES</t>
        </is>
      </c>
      <c r="M11" s="0" t="n">
        <v>-0.2602864272339891</v>
      </c>
      <c r="IK11" s="0" t="inlineStr">
        <is>
          <t>ez_manage.py:5141 top()</t>
        </is>
      </c>
      <c r="IL11" s="0" t="inlineStr">
        <is>
          <t>v12_quick_engine.py:2538 x1</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2026-09-18T21:50:18Z</dcterms:modified>
</cp:coreProperties>
</file>