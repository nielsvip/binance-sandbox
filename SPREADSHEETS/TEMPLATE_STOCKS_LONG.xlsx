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9">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6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13</v>
      </c>
      <c r="N3" s="71" t="n">
        <v>13.01499742642773</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5.75" customHeight="1" s="67">
      <c r="A4" s="26" t="inlineStr">
        <is>
          <t>BB_SQUEEZE_ENTRY_ENABLED</t>
        </is>
      </c>
      <c r="B4" s="26" t="inlineStr">
        <is>
          <t>False</t>
        </is>
      </c>
      <c r="C4" s="26" t="n"/>
      <c r="D4" s="26" t="n"/>
      <c r="E4" s="26">
        <f>IF(G4="",E3,IF(G4&gt;0,E3+G4,E3))</f>
        <v/>
      </c>
      <c r="F4" s="26" t="n"/>
      <c r="G4" s="26">
        <f>IFERROR(VLOOKUP($A6&amp;"_"&amp;$B6,Results_Deltas!$A$2:$P$15000,5,FALSE),"")</f>
        <v/>
      </c>
      <c r="H4" s="26">
        <f>IFERROR(VLOOKUP(#REF!,Results_30d_Deltas!$A$2:$H$5000,7,FALSE)-E4,"")</f>
        <v/>
      </c>
      <c r="I4" s="26">
        <f>IFERROR(VLOOKUP(#REF!,Results_30d_Deltas!$A$2:$H$5000,6,FALSE),"")</f>
        <v/>
      </c>
      <c r="J4" s="26" t="n"/>
      <c r="K4" s="26" t="n"/>
      <c r="L4" s="26" t="inlineStr">
        <is>
          <t>NO</t>
        </is>
      </c>
      <c r="M4" s="70" t="n">
        <v>0</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6" t="inlineStr">
        <is>
          <t>LIVE_ENTRY_ENGINE_FILTER_TF=OFF</t>
        </is>
      </c>
      <c r="FL4" s="36" t="inlineStr">
        <is>
          <t>LIVE_ENTRY_ENGINE_FILTER_TF=D</t>
        </is>
      </c>
      <c r="FM4" s="36" t="inlineStr">
        <is>
          <t>LIVE_ENTRY_ENGINE_FILTER_TF=4h</t>
        </is>
      </c>
      <c r="FN4" s="36" t="inlineStr">
        <is>
          <t>LIVE_ENTRY_ENGINE_FILTER_TF=1h</t>
        </is>
      </c>
      <c r="FO4" s="36" t="inlineStr">
        <is>
          <t>LIVE_ENTRY_ENGINE_FILTER_TF=15m</t>
        </is>
      </c>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ez_manage.py:4371 top()</t>
        </is>
      </c>
      <c r="IN4" s="26" t="inlineStr">
        <is>
          <t>v12_quick_engine.py:889 x9</t>
        </is>
      </c>
      <c r="IO4" s="26" t="n"/>
    </row>
    <row r="5" ht="10.5" customHeight="1" s="67">
      <c r="A5" s="26" t="inlineStr">
        <is>
          <t>WT_MOMENTUM_EXIT_THRESHOLD</t>
        </is>
      </c>
      <c r="B5" s="26" t="inlineStr">
        <is>
          <t>2</t>
        </is>
      </c>
      <c r="C5" s="26" t="n"/>
      <c r="D5" s="26" t="n"/>
      <c r="E5" s="26">
        <f>IF(G5="",E4,IF(G5&gt;0,E4+G5,E4))</f>
        <v/>
      </c>
      <c r="F5" s="26" t="n"/>
      <c r="G5" s="26">
        <f>IFERROR(VLOOKUP($A23&amp;"_"&amp;$B23,Results_Deltas!$A$2:$P$15000,5,FALSE),"")</f>
        <v/>
      </c>
      <c r="H5" s="26">
        <f>IFERROR(VLOOKUP($A23,Results_30d_Deltas!$A$2:$H$5000,7,FALSE)-E22,"")</f>
        <v/>
      </c>
      <c r="I5" s="26">
        <f>IFERROR(VLOOKUP($A23,Results_30d_Deltas!$A$2:$H$5000,6,FALSE),"")</f>
        <v/>
      </c>
      <c r="J5" s="26" t="n"/>
      <c r="K5" s="26" t="n"/>
      <c r="L5" s="26" t="inlineStr">
        <is>
          <t>NO</t>
        </is>
      </c>
      <c r="M5" s="70" t="n">
        <v>28</v>
      </c>
      <c r="N5" s="71" t="n">
        <v>0</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6" t="inlineStr">
        <is>
          <t>DC_MOMENTUM_BOTA_SCORER_FILTER_TF=OFF</t>
        </is>
      </c>
      <c r="BX5" s="36" t="inlineStr">
        <is>
          <t>DC_MOMENTUM_BOTA_SCORER_FILTER_TF=D</t>
        </is>
      </c>
      <c r="BY5" s="36" t="inlineStr">
        <is>
          <t>DC_MOMENTUM_BOTA_SCORER_FILTER_TF=4h</t>
        </is>
      </c>
      <c r="BZ5" s="36" t="inlineStr">
        <is>
          <t>DC_MOMENTUM_BOTA_SCORER_FILTER_TF=1h</t>
        </is>
      </c>
      <c r="CA5" s="36" t="inlineStr">
        <is>
          <t>DC_MOMENTUM_BOTA_SCORER_FILTER_TF=15m</t>
        </is>
      </c>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6" t="inlineStr">
        <is>
          <t>EXIT_R1_R2_FILTER_TF=OFF</t>
        </is>
      </c>
      <c r="CW5" s="36" t="inlineStr">
        <is>
          <t>EXIT_R1_R2_FILTER_TF=D</t>
        </is>
      </c>
      <c r="CX5" s="36" t="inlineStr">
        <is>
          <t>EXIT_R1_R2_FILTER_TF=4h</t>
        </is>
      </c>
      <c r="CY5" s="36" t="inlineStr">
        <is>
          <t>EXIT_R1_R2_FILTER_TF=1h</t>
        </is>
      </c>
      <c r="CZ5" s="36" t="inlineStr">
        <is>
          <t>EXIT_R1_R2_FILTER_TF=15m</t>
        </is>
      </c>
      <c r="DA5" s="36" t="inlineStr">
        <is>
          <t>EXIT_TIGHT_BREAKOUT_SCORER_FILTER_TF=OFF</t>
        </is>
      </c>
      <c r="DB5" s="36" t="inlineStr">
        <is>
          <t>EXIT_TIGHT_BREAKOUT_SCORER_FILTER_TF=D</t>
        </is>
      </c>
      <c r="DC5" s="36" t="inlineStr">
        <is>
          <t>EXIT_TIGHT_BREAKOUT_SCORER_FILTER_TF=4h</t>
        </is>
      </c>
      <c r="DD5" s="36" t="inlineStr">
        <is>
          <t>EXIT_TIGHT_BREAKOUT_SCORER_FILTER_TF=1h</t>
        </is>
      </c>
      <c r="DE5" s="36" t="inlineStr">
        <is>
          <t>EXIT_TIGHT_BREAKOUT_SCORER_FILTER_TF=15m</t>
        </is>
      </c>
      <c r="DF5" s="36" t="inlineStr">
        <is>
          <t>EXIT_TOP_FADE_FILTER_TF=OFF</t>
        </is>
      </c>
      <c r="DG5" s="36" t="inlineStr">
        <is>
          <t>EXIT_TOP_FADE_FILTER_TF=D</t>
        </is>
      </c>
      <c r="DH5" s="36" t="inlineStr">
        <is>
          <t>EXIT_TOP_FADE_FILTER_TF=4h</t>
        </is>
      </c>
      <c r="DI5" s="36" t="inlineStr">
        <is>
          <t>EXIT_TOP_FADE_FILTER_TF=1h</t>
        </is>
      </c>
      <c r="DJ5" s="36" t="inlineStr">
        <is>
          <t>EXIT_TOP_FADE_FILTER_TF=15m</t>
        </is>
      </c>
      <c r="DK5" s="36" t="inlineStr">
        <is>
          <t>EXIT_TO_REDUCE_ADAPTER_FILTER_TF=OFF</t>
        </is>
      </c>
      <c r="DL5" s="36" t="inlineStr">
        <is>
          <t>EXIT_TO_REDUCE_ADAPTER_FILTER_TF=D</t>
        </is>
      </c>
      <c r="DM5" s="36" t="inlineStr">
        <is>
          <t>EXIT_TO_REDUCE_ADAPTER_FILTER_TF=4h</t>
        </is>
      </c>
      <c r="DN5" s="36" t="inlineStr">
        <is>
          <t>EXIT_TO_REDUCE_ADAPTER_FILTER_TF=1h</t>
        </is>
      </c>
      <c r="DO5" s="36" t="inlineStr">
        <is>
          <t>EXIT_TO_REDUCE_ADAPTER_FILTER_TF=15m</t>
        </is>
      </c>
      <c r="DP5" s="33" t="n"/>
      <c r="DQ5" s="33" t="n"/>
      <c r="DR5" s="33" t="n"/>
      <c r="DS5" s="33" t="n"/>
      <c r="DT5" s="33" t="n"/>
      <c r="DU5" s="36" t="inlineStr">
        <is>
          <t>FH_MOMENTUM_FILTER_TF=OFF</t>
        </is>
      </c>
      <c r="DV5" s="36" t="inlineStr">
        <is>
          <t>FH_MOMENTUM_FILTER_TF=D</t>
        </is>
      </c>
      <c r="DW5" s="36" t="inlineStr">
        <is>
          <t>FH_MOMENTUM_FILTER_TF=4h</t>
        </is>
      </c>
      <c r="DX5" s="36" t="inlineStr">
        <is>
          <t>FH_MOMENTUM_FILTER_TF=1h</t>
        </is>
      </c>
      <c r="DY5" s="36" t="inlineStr">
        <is>
          <t>FH_MOMENTUM_FILTER_TF=15m</t>
        </is>
      </c>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72" t="n"/>
      <c r="FL5" s="72" t="n"/>
      <c r="FM5" s="72" t="n"/>
      <c r="FN5" s="72" t="n"/>
      <c r="FO5" s="72" t="n"/>
      <c r="FP5" s="33" t="n"/>
      <c r="FQ5" s="33" t="n"/>
      <c r="FR5" s="33" t="n"/>
      <c r="FS5" s="33" t="n"/>
      <c r="FT5" s="33" t="n"/>
      <c r="FU5" s="33" t="n"/>
      <c r="FV5" s="33" t="n"/>
      <c r="FW5" s="33" t="n"/>
      <c r="FX5" s="33" t="n"/>
      <c r="FY5" s="33" t="n"/>
      <c r="FZ5" s="33" t="n"/>
      <c r="GA5" s="33" t="n"/>
      <c r="GB5" s="36" t="inlineStr">
        <is>
          <t>MOMENTUM_BREAKOUT_FILTER_TF=OFF</t>
        </is>
      </c>
      <c r="GC5" s="36" t="inlineStr">
        <is>
          <t>MOMENTUM_BREAKOUT_FILTER_TF=D</t>
        </is>
      </c>
      <c r="GD5" s="36" t="inlineStr">
        <is>
          <t>MOMENTUM_BREAKOUT_FILTER_TF=4h</t>
        </is>
      </c>
      <c r="GE5" s="36" t="inlineStr">
        <is>
          <t>MOMENTUM_BREAKOUT_FILTER_TF=1h</t>
        </is>
      </c>
      <c r="GF5" s="36"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72" t="n"/>
      <c r="IA5" s="72" t="n"/>
      <c r="IB5" s="72" t="n"/>
      <c r="IC5" s="72" t="n"/>
      <c r="ID5" s="72" t="n"/>
      <c r="IE5" s="72" t="n"/>
      <c r="IF5" s="72" t="n"/>
      <c r="IG5" s="72" t="n"/>
      <c r="IH5" s="72" t="n"/>
      <c r="II5" s="72" t="n"/>
      <c r="IJ5" s="72" t="n"/>
      <c r="IK5" s="72" t="n"/>
      <c r="IL5" s="26" t="n"/>
      <c r="IM5" s="26" t="inlineStr">
        <is>
          <t>ez_manage.py:6087 top()</t>
        </is>
      </c>
      <c r="IN5" s="26" t="inlineStr">
        <is>
          <t>v12_quick_engine.py:4293 x3</t>
        </is>
      </c>
      <c r="IO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0" t="n">
        <v>28</v>
      </c>
      <c r="N6" s="71" t="n">
        <v>0</v>
      </c>
      <c r="O6" s="33" t="n"/>
      <c r="P6" s="33" t="n"/>
      <c r="Q6" s="33" t="n"/>
      <c r="R6" s="33" t="n"/>
      <c r="S6" s="33" t="n"/>
      <c r="T6" s="33" t="n"/>
      <c r="U6" s="33" t="n"/>
      <c r="V6" s="33" t="n"/>
      <c r="W6" s="33" t="n"/>
      <c r="X6" s="33" t="n"/>
      <c r="Y6" s="36" t="inlineStr">
        <is>
          <t>BB_PULLBACK_GATE_FILTER_TF=OFF</t>
        </is>
      </c>
      <c r="Z6" s="36" t="inlineStr">
        <is>
          <t>BB_PULLBACK_GATE_FILTER_TF=D</t>
        </is>
      </c>
      <c r="AA6" s="36" t="inlineStr">
        <is>
          <t>BB_PULLBACK_GATE_FILTER_TF=4h</t>
        </is>
      </c>
      <c r="AB6" s="36" t="inlineStr">
        <is>
          <t>BB_PULLBACK_GATE_FILTER_TF=1h</t>
        </is>
      </c>
      <c r="AC6" s="36"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0.5" customHeight="1" s="67">
      <c r="A7" s="26" t="inlineStr">
        <is>
          <t>BB_PULLBACK_GATE_TF</t>
        </is>
      </c>
      <c r="B7" s="26" t="inlineStr">
        <is>
          <t>D</t>
        </is>
      </c>
      <c r="C7" s="26" t="n"/>
      <c r="D7" s="26" t="n"/>
      <c r="E7" s="26">
        <f>IF(G7="",E6,IF(G7&gt;0,E6+G7,E6))</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0" t="n">
        <v>28</v>
      </c>
      <c r="N7" s="71" t="n">
        <v>1.40342086460794</v>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0.5" customHeight="1" s="67">
      <c r="A8" s="27" t="inlineStr">
        <is>
          <t>BB_SQUEEZE_ENTRY_ENABLED</t>
        </is>
      </c>
      <c r="B8" s="27" t="inlineStr">
        <is>
          <t>True</t>
        </is>
      </c>
      <c r="C8" s="26" t="n"/>
      <c r="D8" s="26" t="n"/>
      <c r="E8" s="26">
        <f>IF(G8="",E7,IF(G8&gt;0,E7+G8,E7))</f>
        <v/>
      </c>
      <c r="F8" s="26" t="n"/>
      <c r="G8" s="26">
        <f>IFERROR(VLOOKUP($A5&amp;"_"&amp;$B5,Results_Deltas!$A$2:$P$15000,5,FALSE),"")</f>
        <v/>
      </c>
      <c r="H8" s="26">
        <f>IFERROR(VLOOKUP($A5,Results_30d_Deltas!$A$2:$H$5000,7,FALSE)-E4,"")</f>
        <v/>
      </c>
      <c r="I8" s="26">
        <f>IFERROR(VLOOKUP($A5,Results_30d_Deltas!$A$2:$H$5000,6,FALSE),"")</f>
        <v/>
      </c>
      <c r="J8" s="26" t="n"/>
      <c r="K8" s="26" t="n"/>
      <c r="L8" s="26" t="inlineStr">
        <is>
          <t>YES</t>
        </is>
      </c>
      <c r="M8" s="70" t="n">
        <v>28</v>
      </c>
      <c r="N8" s="71" t="n">
        <v>0.3405356141858173</v>
      </c>
      <c r="O8" s="33" t="n"/>
      <c r="P8" s="33" t="n"/>
      <c r="Q8" s="33" t="n"/>
      <c r="R8" s="33" t="n"/>
      <c r="S8" s="33" t="n"/>
      <c r="T8" s="33" t="n"/>
      <c r="U8" s="33" t="n"/>
      <c r="V8" s="33" t="n"/>
      <c r="W8" s="33" t="n"/>
      <c r="X8" s="33" t="n"/>
      <c r="Y8" s="72" t="n"/>
      <c r="Z8" s="72" t="n"/>
      <c r="AA8" s="72" t="n"/>
      <c r="AB8" s="72" t="n"/>
      <c r="AC8" s="72"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6" t="inlineStr">
        <is>
          <t>LIVE_ENTRY_ENGINE_FILTER_TF=OFF</t>
        </is>
      </c>
      <c r="FL8" s="36" t="inlineStr">
        <is>
          <t>LIVE_ENTRY_ENGINE_FILTER_TF=D</t>
        </is>
      </c>
      <c r="FM8" s="36" t="inlineStr">
        <is>
          <t>LIVE_ENTRY_ENGINE_FILTER_TF=4h</t>
        </is>
      </c>
      <c r="FN8" s="36" t="inlineStr">
        <is>
          <t>LIVE_ENTRY_ENGINE_FILTER_TF=1h</t>
        </is>
      </c>
      <c r="FO8" s="36" t="inlineStr">
        <is>
          <t>LIVE_ENTRY_ENGINE_FILTER_TF=15m</t>
        </is>
      </c>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6" t="inlineStr">
        <is>
          <t>WT_15M_BOUNCE_BB_MAX=0.95</t>
        </is>
      </c>
      <c r="IA8" s="36" t="inlineStr">
        <is>
          <t>WT_15M_BOUNCE_BB_MAX=0.9</t>
        </is>
      </c>
      <c r="IB8" s="36" t="inlineStr">
        <is>
          <t>WT_15M_BOUNCE_BB_MAX=0.8</t>
        </is>
      </c>
      <c r="IC8" s="36" t="inlineStr">
        <is>
          <t>WT_15M_BOUNCE_BB_MIN=0.05</t>
        </is>
      </c>
      <c r="ID8" s="36" t="inlineStr">
        <is>
          <t>WT_15M_BOUNCE_BB_MIN=0.1</t>
        </is>
      </c>
      <c r="IE8" s="36" t="inlineStr">
        <is>
          <t>WT_15M_BOUNCE_BB_MIN=0.2</t>
        </is>
      </c>
      <c r="IF8" s="36" t="inlineStr">
        <is>
          <t>WT_15M_BOUNCE_HIGH_1H_GT_PREV=True</t>
        </is>
      </c>
      <c r="IG8" s="36" t="inlineStr">
        <is>
          <t>WT_15M_BOUNCE_HIGH_1H_GT_PREV=False</t>
        </is>
      </c>
      <c r="IH8" s="36" t="inlineStr">
        <is>
          <t>WT_15M_BOUNCE_LOW_1H_GT_PREV=True</t>
        </is>
      </c>
      <c r="II8" s="36" t="inlineStr">
        <is>
          <t>WT_15M_BOUNCE_LOW_1H_GT_PREV=False</t>
        </is>
      </c>
      <c r="IJ8" s="36" t="inlineStr">
        <is>
          <t>WT_15M_BOUNCE_REL_VOL_GT_1=True</t>
        </is>
      </c>
      <c r="IK8" s="36" t="inlineStr">
        <is>
          <t>WT_15M_BOUNCE_REL_VOL_GT_1=False</t>
        </is>
      </c>
      <c r="IL8" s="26" t="n"/>
      <c r="IM8" s="26" t="inlineStr">
        <is>
          <t>ez_manage.py:4371 top()</t>
        </is>
      </c>
      <c r="IN8" s="26" t="inlineStr">
        <is>
          <t>v12_quick_engine.py:889 x9</t>
        </is>
      </c>
      <c r="IO8" s="26" t="n"/>
    </row>
    <row r="9" ht="10.5" customHeight="1" s="67">
      <c r="A9" s="27" t="inlineStr">
        <is>
          <t>WT_MOMENTUM_EXIT_THRESHOLD</t>
        </is>
      </c>
      <c r="B9" s="27" t="inlineStr">
        <is>
          <t>1</t>
        </is>
      </c>
      <c r="C9" s="26" t="n"/>
      <c r="D9" s="26" t="n"/>
      <c r="E9" s="26">
        <f>IF(G9="",E8,IF(G9&gt;0,E8+G9,E8))</f>
        <v/>
      </c>
      <c r="F9" s="26" t="n"/>
      <c r="G9" s="26">
        <f>IFERROR(VLOOKUP($A22&amp;"_"&amp;$B22,Results_Deltas!$A$2:$P$15000,5,FALSE),"")</f>
        <v/>
      </c>
      <c r="H9" s="26">
        <f>IFERROR(VLOOKUP($A22,Results_30d_Deltas!$A$2:$H$5000,7,FALSE)-E21,"")</f>
        <v/>
      </c>
      <c r="I9" s="26">
        <f>IFERROR(VLOOKUP($A22,Results_30d_Deltas!$A$2:$H$5000,6,FALSE),"")</f>
        <v/>
      </c>
      <c r="J9" s="26" t="n"/>
      <c r="K9" s="26" t="n"/>
      <c r="L9" s="26" t="inlineStr">
        <is>
          <t>YES</t>
        </is>
      </c>
      <c r="M9" s="70" t="n">
        <v>28</v>
      </c>
      <c r="N9" s="71" t="n">
        <v>0</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4" t="inlineStr">
        <is>
          <t>DC_MOMENTUM_BOTA_SCORER_FILTER_TF=OFF</t>
        </is>
      </c>
      <c r="BX9" s="34" t="inlineStr">
        <is>
          <t>DC_MOMENTUM_BOTA_SCORER_FILTER_TF=D</t>
        </is>
      </c>
      <c r="BY9" s="34" t="inlineStr">
        <is>
          <t>DC_MOMENTUM_BOTA_SCORER_FILTER_TF=4h</t>
        </is>
      </c>
      <c r="BZ9" s="34" t="inlineStr">
        <is>
          <t>DC_MOMENTUM_BOTA_SCORER_FILTER_TF=1h</t>
        </is>
      </c>
      <c r="CA9" s="34" t="inlineStr">
        <is>
          <t>DC_MOMENTUM_BOTA_SCORER_FILTER_TF=15m</t>
        </is>
      </c>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4" t="inlineStr">
        <is>
          <t>EXIT_R1_R2_FILTER_TF=OFF</t>
        </is>
      </c>
      <c r="CW9" s="34" t="inlineStr">
        <is>
          <t>EXIT_R1_R2_FILTER_TF=D</t>
        </is>
      </c>
      <c r="CX9" s="34" t="inlineStr">
        <is>
          <t>EXIT_R1_R2_FILTER_TF=4h</t>
        </is>
      </c>
      <c r="CY9" s="34" t="inlineStr">
        <is>
          <t>EXIT_R1_R2_FILTER_TF=1h</t>
        </is>
      </c>
      <c r="CZ9" s="34" t="inlineStr">
        <is>
          <t>EXIT_R1_R2_FILTER_TF=15m</t>
        </is>
      </c>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4" t="inlineStr">
        <is>
          <t>EXIT_TOP_FADE_FILTER_TF=OFF</t>
        </is>
      </c>
      <c r="DG9" s="34" t="inlineStr">
        <is>
          <t>EXIT_TOP_FADE_FILTER_TF=D</t>
        </is>
      </c>
      <c r="DH9" s="34" t="inlineStr">
        <is>
          <t>EXIT_TOP_FADE_FILTER_TF=4h</t>
        </is>
      </c>
      <c r="DI9" s="34" t="inlineStr">
        <is>
          <t>EXIT_TOP_FADE_FILTER_TF=1h</t>
        </is>
      </c>
      <c r="DJ9" s="34" t="inlineStr">
        <is>
          <t>EXIT_TOP_FADE_FILTER_TF=15m</t>
        </is>
      </c>
      <c r="DK9" s="34" t="inlineStr">
        <is>
          <t>EXIT_TO_REDUCE_ADAPTER_FILTER_TF=OFF</t>
        </is>
      </c>
      <c r="DL9" s="34" t="inlineStr">
        <is>
          <t>EXIT_TO_REDUCE_ADAPTER_FILTER_TF=D</t>
        </is>
      </c>
      <c r="DM9" s="34" t="inlineStr">
        <is>
          <t>EXIT_TO_REDUCE_ADAPTER_FILTER_TF=4h</t>
        </is>
      </c>
      <c r="DN9" s="34" t="inlineStr">
        <is>
          <t>EXIT_TO_REDUCE_ADAPTER_FILTER_TF=1h</t>
        </is>
      </c>
      <c r="DO9" s="34" t="inlineStr">
        <is>
          <t>EXIT_TO_REDUCE_ADAPTER_FILTER_TF=15m</t>
        </is>
      </c>
      <c r="DP9" s="33" t="n"/>
      <c r="DQ9" s="33" t="n"/>
      <c r="DR9" s="33" t="n"/>
      <c r="DS9" s="33" t="n"/>
      <c r="DT9" s="33" t="n"/>
      <c r="DU9" s="34" t="inlineStr">
        <is>
          <t>FH_MOMENTUM_FILTER_TF=OFF</t>
        </is>
      </c>
      <c r="DV9" s="34" t="inlineStr">
        <is>
          <t>FH_MOMENTUM_FILTER_TF=D</t>
        </is>
      </c>
      <c r="DW9" s="34" t="inlineStr">
        <is>
          <t>FH_MOMENTUM_FILTER_TF=4h</t>
        </is>
      </c>
      <c r="DX9" s="34" t="inlineStr">
        <is>
          <t>FH_MOMENTUM_FILTER_TF=1h</t>
        </is>
      </c>
      <c r="DY9" s="34" t="inlineStr">
        <is>
          <t>FH_MOMENTUM_FILTER_TF=15m</t>
        </is>
      </c>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ez_manage.py:6087 top()</t>
        </is>
      </c>
      <c r="IN9" s="26" t="inlineStr">
        <is>
          <t>v12_quick_engine.py:4293 x3</t>
        </is>
      </c>
      <c r="IO9" s="26" t="n"/>
    </row>
    <row r="10" ht="10.5" customHeight="1" s="67">
      <c r="A10" s="26" t="inlineStr">
        <is>
          <t>WT_15M_BOUNCE_OPEN_ENABLED</t>
        </is>
      </c>
      <c r="B10" s="26" t="inlineStr">
        <is>
          <t>True</t>
        </is>
      </c>
      <c r="C10" s="26" t="n"/>
      <c r="D10" s="26" t="n"/>
      <c r="E10" s="26">
        <f>IF(G10="",E9,IF(G10&gt;0,E9+G10,E9))</f>
        <v/>
      </c>
      <c r="F10" s="26" t="n"/>
      <c r="G10" s="26">
        <f>IFERROR(VLOOKUP($A4&amp;"_"&amp;$B4,Results_Deltas!$A$2:$P$15000,5,FALSE),"")</f>
        <v/>
      </c>
      <c r="H10" s="26">
        <f>IFERROR(VLOOKUP($A4,Results_30d_Deltas!$A$2:$H$5000,7,FALSE)-E3,"")</f>
        <v/>
      </c>
      <c r="I10" s="26">
        <f>IFERROR(VLOOKUP($A4,Results_30d_Deltas!$A$2:$H$5000,6,FALSE),"")</f>
        <v/>
      </c>
      <c r="J10" s="26" t="n"/>
      <c r="K10" s="26" t="n"/>
      <c r="L10" s="26" t="inlineStr">
        <is>
          <t>NO</t>
        </is>
      </c>
      <c r="M10" s="70" t="n">
        <v>28</v>
      </c>
      <c r="N10" s="71" t="n">
        <v>27.79463291762478</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72" t="n"/>
      <c r="BX10" s="72" t="n"/>
      <c r="BY10" s="72" t="n"/>
      <c r="BZ10" s="72" t="n"/>
      <c r="CA10" s="72"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33" t="n"/>
      <c r="DQ10" s="33" t="n"/>
      <c r="DR10" s="33" t="n"/>
      <c r="DS10" s="33" t="n"/>
      <c r="DT10" s="33" t="n"/>
      <c r="DU10" s="72" t="n"/>
      <c r="DV10" s="72" t="n"/>
      <c r="DW10" s="72" t="n"/>
      <c r="DX10" s="72" t="n"/>
      <c r="DY10" s="72" t="n"/>
      <c r="DZ10" s="36" t="inlineStr">
        <is>
          <t>FIRST_OPEN_THROTTLE_FILTER_TF=OFF</t>
        </is>
      </c>
      <c r="EA10" s="36" t="inlineStr">
        <is>
          <t>FIRST_OPEN_THROTTLE_FILTER_TF=D</t>
        </is>
      </c>
      <c r="EB10" s="36" t="inlineStr">
        <is>
          <t>FIRST_OPEN_THROTTLE_FILTER_TF=4h</t>
        </is>
      </c>
      <c r="EC10" s="36" t="inlineStr">
        <is>
          <t>FIRST_OPEN_THROTTLE_FILTER_TF=1h</t>
        </is>
      </c>
      <c r="ED10" s="36" t="inlineStr">
        <is>
          <t>FIRST_OPEN_THROTTLE_FILTER_TF=15m</t>
        </is>
      </c>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72" t="n"/>
      <c r="GC10" s="72" t="n"/>
      <c r="GD10" s="72" t="n"/>
      <c r="GE10" s="72" t="n"/>
      <c r="GF10" s="72"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6" t="inlineStr">
        <is>
          <t>OPEN_INTENT_SIZE_GATES_FILTER_TF=OFF</t>
        </is>
      </c>
      <c r="HL10" s="36" t="inlineStr">
        <is>
          <t>OPEN_INTENT_SIZE_GATES_FILTER_TF=D</t>
        </is>
      </c>
      <c r="HM10" s="36" t="inlineStr">
        <is>
          <t>OPEN_INTENT_SIZE_GATES_FILTER_TF=4h</t>
        </is>
      </c>
      <c r="HN10" s="36" t="inlineStr">
        <is>
          <t>OPEN_INTENT_SIZE_GATES_FILTER_TF=1h</t>
        </is>
      </c>
      <c r="HO10" s="36" t="inlineStr">
        <is>
          <t>OPEN_INTENT_SIZE_GATES_FILTER_TF=15m</t>
        </is>
      </c>
      <c r="HP10" s="33" t="n"/>
      <c r="HQ10" s="33" t="n"/>
      <c r="HR10" s="33" t="n"/>
      <c r="HS10" s="33" t="n"/>
      <c r="HT10" s="33" t="n"/>
      <c r="HU10" s="33" t="n"/>
      <c r="HV10" s="33" t="n"/>
      <c r="HW10" s="33" t="n"/>
      <c r="HX10" s="33" t="n"/>
      <c r="HY10" s="33" t="n"/>
      <c r="HZ10" s="36" t="inlineStr">
        <is>
          <t>WT_15M_BOUNCE_BB_MAX=0.95</t>
        </is>
      </c>
      <c r="IA10" s="36" t="inlineStr">
        <is>
          <t>WT_15M_BOUNCE_BB_MAX=0.9</t>
        </is>
      </c>
      <c r="IB10" s="36" t="inlineStr">
        <is>
          <t>WT_15M_BOUNCE_BB_MAX=0.8</t>
        </is>
      </c>
      <c r="IC10" s="36" t="inlineStr">
        <is>
          <t>WT_15M_BOUNCE_BB_MIN=0.05</t>
        </is>
      </c>
      <c r="ID10" s="36" t="inlineStr">
        <is>
          <t>WT_15M_BOUNCE_BB_MIN=0.1</t>
        </is>
      </c>
      <c r="IE10" s="36" t="inlineStr">
        <is>
          <t>WT_15M_BOUNCE_BB_MIN=0.2</t>
        </is>
      </c>
      <c r="IF10" s="36" t="inlineStr">
        <is>
          <t>WT_15M_BOUNCE_HIGH_1H_GT_PREV=True</t>
        </is>
      </c>
      <c r="IG10" s="36" t="inlineStr">
        <is>
          <t>WT_15M_BOUNCE_HIGH_1H_GT_PREV=False</t>
        </is>
      </c>
      <c r="IH10" s="36" t="inlineStr">
        <is>
          <t>WT_15M_BOUNCE_LOW_1H_GT_PREV=True</t>
        </is>
      </c>
      <c r="II10" s="36" t="inlineStr">
        <is>
          <t>WT_15M_BOUNCE_LOW_1H_GT_PREV=False</t>
        </is>
      </c>
      <c r="IJ10" s="36" t="inlineStr">
        <is>
          <t>WT_15M_BOUNCE_REL_VOL_GT_1=True</t>
        </is>
      </c>
      <c r="IK10" s="36" t="inlineStr">
        <is>
          <t>WT_15M_BOUNCE_REL_VOL_GT_1=False</t>
        </is>
      </c>
      <c r="IL10" s="26" t="n"/>
      <c r="IM10" s="26" t="inlineStr">
        <is>
          <t>ez_manage.py:6076 top()</t>
        </is>
      </c>
      <c r="IN10" s="26" t="inlineStr">
        <is>
          <t>v12_quick_engine.py:4288 x7</t>
        </is>
      </c>
      <c r="IO10" s="26" t="n"/>
    </row>
    <row r="11" ht="10.5" customHeight="1" s="67">
      <c r="A11" s="39" t="inlineStr">
        <is>
          <t>ADX_RANGING_THRESHOLD</t>
        </is>
      </c>
      <c r="B11" s="40" t="inlineStr">
        <is>
          <t>10</t>
        </is>
      </c>
      <c r="C11" s="38" t="n"/>
      <c r="D11" s="38" t="inlineStr">
        <is>
          <t>ENTRY, GLOBAL_CHECK, STOCKS_EXIT</t>
        </is>
      </c>
      <c r="E11" s="38">
        <f>IF(G11="",E10,IF(G11&gt;0,E10+G11,E10))</f>
        <v/>
      </c>
      <c r="F11" s="26" t="n"/>
      <c r="G11" s="38">
        <f>IFERROR(VLOOKUP($A29&amp;"_"&amp;$B29,Results_Deltas!$A$2:$P$15000,5,FALSE),"")</f>
        <v/>
      </c>
      <c r="H11" s="38" t="inlineStr">
        <is>
          <t>Blanket (page end)</t>
        </is>
      </c>
      <c r="I11" s="26" t="n"/>
      <c r="J11" s="26" t="n"/>
      <c r="K11" s="26" t="n"/>
      <c r="L11" s="26" t="inlineStr">
        <is>
          <t>YES</t>
        </is>
      </c>
      <c r="M11" s="73"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15</t>
        </is>
      </c>
      <c r="C12" s="38" t="n"/>
      <c r="D12" s="38" t="inlineStr">
        <is>
          <t>ENTRY, GLOBAL_CHECK, STOCKS_EXIT</t>
        </is>
      </c>
      <c r="E12" s="38">
        <f>IF(G12="",E11,IF(G12&gt;0,E11+G12,E11))</f>
        <v/>
      </c>
      <c r="F12" s="26" t="n"/>
      <c r="G12" s="38">
        <f>IFERROR(VLOOKUP($A28&amp;"_"&amp;$B28,Results_Deltas!$A$2:$P$15000,5,FALSE),"")</f>
        <v/>
      </c>
      <c r="H12" s="38" t="inlineStr">
        <is>
          <t>Blanket (page end)</t>
        </is>
      </c>
      <c r="I12" s="26" t="n"/>
      <c r="J12" s="26" t="n"/>
      <c r="K12" s="26" t="n"/>
      <c r="L12" s="26" t="inlineStr">
        <is>
          <t>NO</t>
        </is>
      </c>
      <c r="M12" s="73"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ADX_RANGING_THRESHOLD</t>
        </is>
      </c>
      <c r="B13" s="38" t="inlineStr">
        <is>
          <t>25</t>
        </is>
      </c>
      <c r="C13" s="38" t="n"/>
      <c r="D13" s="38" t="inlineStr">
        <is>
          <t>ENTRY, GLOBAL_CHECK, STOCKS_EXIT</t>
        </is>
      </c>
      <c r="E13" s="38">
        <f>IF(G14="",E13,IF(G14&gt;0,E13+G14,E13))</f>
        <v/>
      </c>
      <c r="F13" s="26" t="n"/>
      <c r="G13" s="38">
        <f>IFERROR(VLOOKUP($A27&amp;"_"&amp;$B27,Results_Deltas!$A$2:$P$15000,5,FALSE),"")</f>
        <v/>
      </c>
      <c r="H13" s="38" t="inlineStr">
        <is>
          <t>Blanket (page end)</t>
        </is>
      </c>
      <c r="I13" s="26" t="n"/>
      <c r="J13" s="26" t="n"/>
      <c r="K13" s="26" t="n"/>
      <c r="L13" s="26" t="inlineStr">
        <is>
          <t>NO</t>
        </is>
      </c>
      <c r="M13" s="73"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2.0</t>
        </is>
      </c>
      <c r="C14" s="38" t="n"/>
      <c r="D14" s="38" t="inlineStr">
        <is>
          <t>AUGMENT, ENTRY, EXIT, GLOBAL_CHECK, REDUCE, STOCKS_EXIT</t>
        </is>
      </c>
      <c r="E14" s="38">
        <f>IF(G16="",E15,IF(G16&gt;0,E15+G16,E15))</f>
        <v/>
      </c>
      <c r="F14" s="26" t="n"/>
      <c r="G14" s="38">
        <f>IFERROR(VLOOKUP($A31&amp;"_"&amp;$B31,Results_Deltas!$A$2:$P$15000,5,FALSE),"")</f>
        <v/>
      </c>
      <c r="H14" s="38" t="inlineStr">
        <is>
          <t>Blanket (page end)</t>
        </is>
      </c>
      <c r="I14" s="26" t="n"/>
      <c r="J14" s="26" t="n"/>
      <c r="K14" s="26" t="n"/>
      <c r="L14" s="26" t="inlineStr">
        <is>
          <t>NO</t>
        </is>
      </c>
      <c r="M14" s="73" t="n">
        <v>24</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1.0</t>
        </is>
      </c>
      <c r="C15" s="38" t="n"/>
      <c r="D15" s="38" t="inlineStr">
        <is>
          <t>AUGMENT, ENTRY, EXIT, GLOBAL_CHECK, REDUCE, STOCKS_EXIT</t>
        </is>
      </c>
      <c r="E15" s="38">
        <f>IF(G17="",E16,IF(G17&gt;0,E16+G17,E16))</f>
        <v/>
      </c>
      <c r="F15" s="26" t="n"/>
      <c r="G15" s="38">
        <f>IFERROR(VLOOKUP($A32&amp;"_"&amp;$B32,Results_Deltas!$A$2:$P$15000,5,FALSE),"")</f>
        <v/>
      </c>
      <c r="H15" s="38" t="inlineStr">
        <is>
          <t>Blanket (page end)</t>
        </is>
      </c>
      <c r="I15" s="26" t="n"/>
      <c r="J15" s="26" t="n"/>
      <c r="K15" s="26" t="n"/>
      <c r="L15" s="26" t="inlineStr">
        <is>
          <t>NO</t>
        </is>
      </c>
      <c r="M15" s="73"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BAND_ARROW_ENABLED</t>
        </is>
      </c>
      <c r="B16" s="38" t="inlineStr">
        <is>
          <t>True</t>
        </is>
      </c>
      <c r="C16" s="38" t="n"/>
      <c r="D16" s="38" t="inlineStr">
        <is>
          <t>GLOBAL_CHECK, STOCKS_EXIT</t>
        </is>
      </c>
      <c r="E16" s="38">
        <f>IF(G20="",E19,IF(G20&gt;0,E19+G20,E19))</f>
        <v/>
      </c>
      <c r="F16" s="26" t="n"/>
      <c r="G16" s="38">
        <f>IFERROR(VLOOKUP($A35&amp;"_"&amp;$B35,Results_Deltas!$A$2:$P$15000,5,FALSE),"")</f>
        <v/>
      </c>
      <c r="H16" s="38" t="inlineStr">
        <is>
          <t>Blanket (page end)</t>
        </is>
      </c>
      <c r="I16" s="26" t="n"/>
      <c r="J16" s="26" t="n"/>
      <c r="K16" s="26" t="n"/>
      <c r="L16" s="26" t="inlineStr">
        <is>
          <t>NO</t>
        </is>
      </c>
      <c r="M16" s="73"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f>IF(G27="",E26,IF(G27&gt;0,E26+G27,E26))</f>
        <v/>
      </c>
      <c r="F17" s="26" t="n"/>
      <c r="G17" s="38">
        <f>IFERROR(VLOOKUP($A42&amp;"_"&amp;$B42,Results_Deltas!$A$2:$P$15000,5,FALSE),"")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D</t>
        </is>
      </c>
      <c r="C18" s="38" t="n"/>
      <c r="D18" s="38" t="inlineStr">
        <is>
          <t>GLOBAL_CHECK</t>
        </is>
      </c>
      <c r="E18" s="38">
        <f>IF(G28="",E27,IF(G28&gt;0,E27+G28,E27))</f>
        <v/>
      </c>
      <c r="F18" s="26" t="n"/>
      <c r="G18" s="38">
        <f>IFERROR(VLOOKUP($A43&amp;"_"&amp;$B43,Results_Deltas!$A$2:$P$15000,5,FALSE),"")</f>
        <v/>
      </c>
      <c r="H18" s="38" t="inlineStr">
        <is>
          <t>Blanket (page end)</t>
        </is>
      </c>
      <c r="I18" s="26" t="n"/>
      <c r="J18" s="26" t="n"/>
      <c r="K18" s="26" t="n"/>
      <c r="L18" s="26" t="inlineStr">
        <is>
          <t>NO</t>
        </is>
      </c>
      <c r="M18" s="73" t="n">
        <v>6</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1h</t>
        </is>
      </c>
      <c r="C19" s="38" t="n"/>
      <c r="D19" s="38" t="inlineStr">
        <is>
          <t>GLOBAL_CHECK</t>
        </is>
      </c>
      <c r="E19" s="38">
        <f>IF(G30="",E29,IF(G30&gt;0,E29+G30,E29))</f>
        <v/>
      </c>
      <c r="F19" s="26" t="n"/>
      <c r="G19" s="38">
        <f>IFERROR(VLOOKUP($A45&amp;"_"&amp;$B45,Results_Deltas!$A$2:$P$15000,5,FALSE),"")</f>
        <v/>
      </c>
      <c r="H19" s="38" t="inlineStr">
        <is>
          <t>Blanket (page end)</t>
        </is>
      </c>
      <c r="I19" s="26" t="n"/>
      <c r="J19" s="26" t="n"/>
      <c r="K19" s="26" t="n"/>
      <c r="L19" s="26" t="inlineStr">
        <is>
          <t>NO</t>
        </is>
      </c>
      <c r="M19" s="73"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CRYPTO_SPIKE_FADE_THRESHOLD_PCT</t>
        </is>
      </c>
      <c r="B20" s="40" t="inlineStr">
        <is>
          <t>10</t>
        </is>
      </c>
      <c r="C20" s="38" t="n"/>
      <c r="D20" s="38" t="inlineStr">
        <is>
          <t>GLOBAL_CHECK, STOCKS_EXIT</t>
        </is>
      </c>
      <c r="E20" s="38">
        <f>IF(G32="",E31,IF(G32&gt;0,E31+G32,E31))</f>
        <v/>
      </c>
      <c r="F20" s="26" t="n"/>
      <c r="G20" s="38">
        <f>IFERROR(VLOOKUP($A47&amp;"_"&amp;$B47,Results_Deltas!$A$2:$P$15000,5,FALSE),"")</f>
        <v/>
      </c>
      <c r="H20" s="38" t="inlineStr">
        <is>
          <t>Blanket (page end)</t>
        </is>
      </c>
      <c r="I20" s="26" t="n"/>
      <c r="J20" s="26" t="n"/>
      <c r="K20" s="26" t="n"/>
      <c r="L20" s="26" t="inlineStr">
        <is>
          <t>YES</t>
        </is>
      </c>
      <c r="M20" s="73" t="n">
        <v>23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12.5</t>
        </is>
      </c>
      <c r="C21" s="38" t="n"/>
      <c r="D21" s="38" t="inlineStr">
        <is>
          <t>GLOBAL_CHECK, STOCKS_EXIT</t>
        </is>
      </c>
      <c r="E21" s="38">
        <f>IF(G33="",E32,IF(G33&gt;0,E32+G33,E32))</f>
        <v/>
      </c>
      <c r="F21" s="26" t="n"/>
      <c r="G21" s="38">
        <f>IFERROR(VLOOKUP($A48&amp;"_"&amp;$B48,Results_Deltas!$A$2:$P$15000,5,FALSE),"")</f>
        <v/>
      </c>
      <c r="H21" s="38" t="inlineStr">
        <is>
          <t>Blanket (page end)</t>
        </is>
      </c>
      <c r="I21" s="26" t="n"/>
      <c r="J21" s="26" t="n"/>
      <c r="K21" s="26" t="n"/>
      <c r="L21" s="26" t="inlineStr">
        <is>
          <t>NO</t>
        </is>
      </c>
      <c r="M21" s="73"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7.5</t>
        </is>
      </c>
      <c r="C22" s="38" t="n"/>
      <c r="D22" s="38" t="inlineStr">
        <is>
          <t>GLOBAL_CHECK, STOCKS_EXIT</t>
        </is>
      </c>
      <c r="E22" s="38">
        <f>IF(G34="",E33,IF(G34&gt;0,E33+G34,E33))</f>
        <v/>
      </c>
      <c r="F22" s="26" t="n"/>
      <c r="G22" s="38">
        <f>IFERROR(VLOOKUP($A49&amp;"_"&amp;$B49,Results_Deltas!$A$2:$P$15000,5,FALSE),"")</f>
        <v/>
      </c>
      <c r="H22" s="38" t="inlineStr">
        <is>
          <t>Blanket (page end)</t>
        </is>
      </c>
      <c r="I22" s="26" t="n"/>
      <c r="J22" s="26" t="n"/>
      <c r="K22" s="26" t="n"/>
      <c r="L22" s="26" t="inlineStr">
        <is>
          <t>NO</t>
        </is>
      </c>
      <c r="M22" s="73"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5</t>
        </is>
      </c>
      <c r="C23" s="38" t="n"/>
      <c r="D23" s="38" t="inlineStr">
        <is>
          <t>GLOBAL_CHECK, STOCKS_EXIT</t>
        </is>
      </c>
      <c r="E23" s="38">
        <f>IF(G35="",E34,IF(G35&gt;0,E34+G35,E34))</f>
        <v/>
      </c>
      <c r="F23" s="26" t="n"/>
      <c r="G23" s="38">
        <f>IFERROR(VLOOKUP($A50&amp;"_"&amp;$B50,Results_Deltas!$A$2:$P$15000,5,FALSE),"")</f>
        <v/>
      </c>
      <c r="H23" s="38" t="inlineStr">
        <is>
          <t>Blanket (page end)</t>
        </is>
      </c>
      <c r="I23" s="26" t="n"/>
      <c r="J23" s="26" t="n"/>
      <c r="K23" s="26" t="n"/>
      <c r="L23" s="26" t="inlineStr">
        <is>
          <t>NO</t>
        </is>
      </c>
      <c r="M23" s="73"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f>IF(G38="",E37,IF(G38&gt;0,E37+G38,E37))</f>
        <v/>
      </c>
      <c r="F24" s="26" t="n"/>
      <c r="G24" s="38">
        <f>IFERROR(VLOOKUP($A53&amp;"_"&amp;$B53,Results_Deltas!$A$2:$P$15000,5,FALSE),"")</f>
        <v/>
      </c>
      <c r="H24" s="38" t="inlineStr">
        <is>
          <t>Blanket (page end)</t>
        </is>
      </c>
      <c r="I24" s="26" t="n"/>
      <c r="J24" s="26" t="n"/>
      <c r="K24" s="26" t="n"/>
      <c r="L24" s="26" t="inlineStr">
        <is>
          <t>NO</t>
        </is>
      </c>
      <c r="M24" s="73"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f>IF(G39="",E38,IF(G39&gt;0,E38+G39,E38))</f>
        <v/>
      </c>
      <c r="F25" s="26" t="n"/>
      <c r="G25" s="38">
        <f>IFERROR(VLOOKUP($A54&amp;"_"&amp;$B54,Results_Deltas!$A$2:$P$15000,5,FALSE),"")</f>
        <v/>
      </c>
      <c r="H25" s="38" t="inlineStr">
        <is>
          <t>Blanket (page end)</t>
        </is>
      </c>
      <c r="I25" s="26" t="n"/>
      <c r="J25" s="26" t="n"/>
      <c r="K25" s="26" t="n"/>
      <c r="L25" s="26" t="inlineStr">
        <is>
          <t>NO</t>
        </is>
      </c>
      <c r="M25" s="73"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DELTA_HTF_GATE</t>
        </is>
      </c>
      <c r="B26" s="38" t="inlineStr">
        <is>
          <t>4h</t>
        </is>
      </c>
      <c r="C26" s="38" t="n"/>
      <c r="D26" s="38" t="inlineStr">
        <is>
          <t>ENTRY, GLOBAL_CHECK, STOCKS_EXIT</t>
        </is>
      </c>
      <c r="E26" s="38">
        <f>IF(G40="",E39,IF(G40&gt;0,E39+G40,E39))</f>
        <v/>
      </c>
      <c r="F26" s="26" t="n"/>
      <c r="G26" s="38">
        <f>IFERROR(VLOOKUP($A55&amp;"_"&amp;$B55,Results_Deltas!$A$2:$P$15000,5,FALSE),"")</f>
        <v/>
      </c>
      <c r="H26" s="38" t="inlineStr">
        <is>
          <t>Blanket (page end)</t>
        </is>
      </c>
      <c r="I26" s="26" t="n"/>
      <c r="J26" s="26" t="n"/>
      <c r="K26" s="26" t="n"/>
      <c r="L26" s="26" t="inlineStr">
        <is>
          <t>NO</t>
        </is>
      </c>
      <c r="M26" s="73"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DELTA_REENTRY_FILTER_ENABLED</t>
        </is>
      </c>
      <c r="B27" s="40" t="inlineStr">
        <is>
          <t>False</t>
        </is>
      </c>
      <c r="C27" s="38" t="n"/>
      <c r="D27" s="38" t="inlineStr">
        <is>
          <t>ENTRY, GLOBAL_CHECK, STOCKS_EXIT</t>
        </is>
      </c>
      <c r="E27" s="38">
        <f>IF(G42="",E41,IF(G42&gt;0,E41+G42,E41))</f>
        <v/>
      </c>
      <c r="F27" s="26" t="n"/>
      <c r="G27" s="38">
        <f>IFERROR(VLOOKUP($A57&amp;"_"&amp;$B57,Results_Deltas!$A$2:$P$15000,5,FALSE),"")</f>
        <v/>
      </c>
      <c r="H27" s="38" t="inlineStr">
        <is>
          <t>Blanket (page end)</t>
        </is>
      </c>
      <c r="I27" s="26" t="n"/>
      <c r="J27" s="26" t="n"/>
      <c r="K27" s="26" t="n"/>
      <c r="L27" s="26" t="inlineStr">
        <is>
          <t>YES</t>
        </is>
      </c>
      <c r="M27" s="73" t="n">
        <v>9</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DELTA_REENTRY_FILTER_ENABLED</t>
        </is>
      </c>
      <c r="B28" s="38" t="inlineStr">
        <is>
          <t>True</t>
        </is>
      </c>
      <c r="C28" s="38" t="n"/>
      <c r="D28" s="38" t="inlineStr">
        <is>
          <t>ENTRY, GLOBAL_CHECK, STOCKS_EXIT</t>
        </is>
      </c>
      <c r="E28" s="38">
        <f>IF(G43="",E42,IF(G43&gt;0,E42+G43,E42))</f>
        <v/>
      </c>
      <c r="F28" s="26" t="n"/>
      <c r="G28" s="38">
        <f>IFERROR(VLOOKUP($A58&amp;"_"&amp;$B58,Results_Deltas!$A$2:$P$15000,5,FALSE),"")</f>
        <v/>
      </c>
      <c r="H28" s="38" t="inlineStr">
        <is>
          <t>Blanket (page end)</t>
        </is>
      </c>
      <c r="I28" s="26" t="n"/>
      <c r="J28" s="26" t="n"/>
      <c r="K28" s="26" t="n"/>
      <c r="L28" s="26" t="inlineStr">
        <is>
          <t>NO</t>
        </is>
      </c>
      <c r="M28" s="73"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DUP_GUARD_FILTER_TF</t>
        </is>
      </c>
      <c r="B29" s="38" t="inlineStr">
        <is>
          <t>OFF</t>
        </is>
      </c>
      <c r="C29" s="38" t="n"/>
      <c r="D29" s="38" t="inlineStr">
        <is>
          <t>GLOBAL_CHECK</t>
        </is>
      </c>
      <c r="E29" s="38">
        <f>IF(G44="",E43,IF(G44&gt;0,E43+G44,E43))</f>
        <v/>
      </c>
      <c r="F29" s="26" t="n"/>
      <c r="G29" s="38">
        <f>IFERROR(VLOOKUP($A59&amp;"_"&amp;$B59,Results_Deltas!$A$2:$P$15000,5,FALSE),"")</f>
        <v/>
      </c>
      <c r="H29" s="38" t="inlineStr">
        <is>
          <t>Blanket (page end)</t>
        </is>
      </c>
      <c r="I29" s="26" t="n"/>
      <c r="J29" s="26" t="n"/>
      <c r="K29" s="26" t="n"/>
      <c r="L29" s="26" t="inlineStr">
        <is>
          <t>NO</t>
        </is>
      </c>
      <c r="M29" s="73" t="n">
        <v>3</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DUP_GUARD_FILTER_TF</t>
        </is>
      </c>
      <c r="B30" s="38" t="inlineStr">
        <is>
          <t>D</t>
        </is>
      </c>
      <c r="C30" s="38" t="n"/>
      <c r="D30" s="38" t="inlineStr">
        <is>
          <t>GLOBAL_CHECK</t>
        </is>
      </c>
      <c r="E30" s="38">
        <f>IF(G45="",E44,IF(G45&gt;0,E44+G45,E44))</f>
        <v/>
      </c>
      <c r="F30" s="26" t="n"/>
      <c r="G30" s="38">
        <f>IFERROR(VLOOKUP($A60&amp;"_"&amp;$B60,Results_Deltas!$A$2:$P$15000,5,FALSE),"")</f>
        <v/>
      </c>
      <c r="H30" s="38" t="inlineStr">
        <is>
          <t>Blanket (page end)</t>
        </is>
      </c>
      <c r="I30" s="26" t="n"/>
      <c r="J30" s="26" t="n"/>
      <c r="K30" s="26" t="n"/>
      <c r="L30" s="26" t="inlineStr">
        <is>
          <t>NO</t>
        </is>
      </c>
      <c r="M30" s="73"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4h</t>
        </is>
      </c>
      <c r="C31" s="38" t="n"/>
      <c r="D31" s="38" t="inlineStr">
        <is>
          <t>GLOBAL_CHECK</t>
        </is>
      </c>
      <c r="E31" s="38">
        <f>IF(G46="",E45,IF(G46&gt;0,E45+G46,E45))</f>
        <v/>
      </c>
      <c r="F31" s="26" t="n"/>
      <c r="G31" s="38">
        <f>IFERROR(VLOOKUP($A61&amp;"_"&amp;$B61,Results_Deltas!$A$2:$P$15000,5,FALSE),"")</f>
        <v/>
      </c>
      <c r="H31" s="38" t="inlineStr">
        <is>
          <t>Blanket (page end)</t>
        </is>
      </c>
      <c r="I31" s="26" t="n"/>
      <c r="J31" s="26" t="n"/>
      <c r="K31" s="26" t="n"/>
      <c r="L31" s="26" t="inlineStr">
        <is>
          <t>NO</t>
        </is>
      </c>
      <c r="M31" s="73" t="n">
        <v>6</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1h</t>
        </is>
      </c>
      <c r="C32" s="38" t="n"/>
      <c r="D32" s="38" t="inlineStr">
        <is>
          <t>GLOBAL_CHECK</t>
        </is>
      </c>
      <c r="E32" s="38">
        <f>IF(G47="",E46,IF(G47&gt;0,E46+G47,E46))</f>
        <v/>
      </c>
      <c r="F32" s="26" t="n"/>
      <c r="G32" s="38">
        <f>IFERROR(VLOOKUP($A62&amp;"_"&amp;$B62,Results_Deltas!$A$2:$P$15000,5,FALSE),"")</f>
        <v/>
      </c>
      <c r="H32" s="38" t="inlineStr">
        <is>
          <t>Blanket (page end)</t>
        </is>
      </c>
      <c r="I32" s="26" t="n"/>
      <c r="J32" s="26" t="n"/>
      <c r="K32" s="26" t="n"/>
      <c r="L32" s="26" t="inlineStr">
        <is>
          <t>NO</t>
        </is>
      </c>
      <c r="M32" s="73" t="n">
        <v>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EMA_9_21_FILTER_MIN_TFS</t>
        </is>
      </c>
      <c r="B33" s="38" t="inlineStr">
        <is>
          <t>2</t>
        </is>
      </c>
      <c r="C33" s="38" t="n"/>
      <c r="D33" s="38" t="inlineStr">
        <is>
          <t>GLOBAL_CHECK</t>
        </is>
      </c>
      <c r="E33" s="38">
        <f>IF(G50="",E49,IF(G50&gt;0,E49+G50,E49))</f>
        <v/>
      </c>
      <c r="F33" s="26" t="n"/>
      <c r="G33" s="38">
        <f>IFERROR(VLOOKUP($A65&amp;"_"&amp;$B65,Results_Deltas!$A$2:$P$15000,5,FALSE),"")</f>
        <v/>
      </c>
      <c r="H33" s="38" t="inlineStr">
        <is>
          <t>Blanket (page end)</t>
        </is>
      </c>
      <c r="I33" s="26" t="n"/>
      <c r="J33" s="26" t="n"/>
      <c r="K33" s="26" t="n"/>
      <c r="L33" s="26" t="inlineStr">
        <is>
          <t>NO</t>
        </is>
      </c>
      <c r="M33" s="73"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EMA_BLANKET_FILTER_ENABLED</t>
        </is>
      </c>
      <c r="B34" s="38" t="inlineStr">
        <is>
          <t>False</t>
        </is>
      </c>
      <c r="C34" s="38" t="n"/>
      <c r="D34" s="38" t="inlineStr">
        <is>
          <t>GLOBAL_CHECK</t>
        </is>
      </c>
      <c r="E34" s="38">
        <f>IF(G52="",E51,IF(G52&gt;0,E51+G52,E51))</f>
        <v/>
      </c>
      <c r="F34" s="26" t="n"/>
      <c r="G34" s="38">
        <f>IFERROR(VLOOKUP($A67&amp;"_"&amp;$B67,Results_Deltas!$A$2:$P$15000,5,FALSE),"")</f>
        <v/>
      </c>
      <c r="H34" s="38" t="inlineStr">
        <is>
          <t>Blanket (page end)</t>
        </is>
      </c>
      <c r="I34" s="26" t="n"/>
      <c r="J34" s="26" t="n"/>
      <c r="K34" s="26" t="n"/>
      <c r="L34" s="26" t="inlineStr">
        <is>
          <t>NO</t>
        </is>
      </c>
      <c r="M34" s="73" t="n">
        <v>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EMA_BLANKET_FILTER_MIN_TFS</t>
        </is>
      </c>
      <c r="B35" s="38" t="inlineStr">
        <is>
          <t>2</t>
        </is>
      </c>
      <c r="C35" s="38" t="n"/>
      <c r="D35" s="38" t="inlineStr">
        <is>
          <t>GLOBAL_CHECK</t>
        </is>
      </c>
      <c r="E35" s="38">
        <f>IF(G55="",E54,IF(G55&gt;0,E54+G55,E54))</f>
        <v/>
      </c>
      <c r="F35" s="26" t="n"/>
      <c r="G35" s="38">
        <f>IFERROR(VLOOKUP($A70&amp;"_"&amp;$B70,Results_Deltas!$A$2:$P$15000,5,FALSE),"")</f>
        <v/>
      </c>
      <c r="H35" s="38" t="inlineStr">
        <is>
          <t>Blanket (page end)</t>
        </is>
      </c>
      <c r="I35" s="26" t="n"/>
      <c r="J35" s="26" t="n"/>
      <c r="K35" s="26" t="n"/>
      <c r="L35" s="26" t="inlineStr">
        <is>
          <t>NO</t>
        </is>
      </c>
      <c r="M35" s="73"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EMA_BLANKET_FILTER_MIN_TFS</t>
        </is>
      </c>
      <c r="B36" s="38" t="inlineStr">
        <is>
          <t>1</t>
        </is>
      </c>
      <c r="C36" s="38" t="n"/>
      <c r="D36" s="38" t="inlineStr">
        <is>
          <t>GLOBAL_CHECK</t>
        </is>
      </c>
      <c r="E36" s="38">
        <f>IF(G56="",E55,IF(G56&gt;0,E55+G56,E55))</f>
        <v/>
      </c>
      <c r="F36" s="26" t="n"/>
      <c r="G36" s="38">
        <f>IFERROR(VLOOKUP($A71&amp;"_"&amp;$B71,Results_Deltas!$A$2:$P$15000,5,FALSE),"")</f>
        <v/>
      </c>
      <c r="H36" s="38" t="inlineStr">
        <is>
          <t>Blanket (page end)</t>
        </is>
      </c>
      <c r="I36" s="26" t="n"/>
      <c r="J36" s="26" t="n"/>
      <c r="K36" s="26" t="n"/>
      <c r="L36" s="26" t="inlineStr">
        <is>
          <t>NO</t>
        </is>
      </c>
      <c r="M36" s="73"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EXECUTE_NOW_SINGLE_GATE_ENFORCE</t>
        </is>
      </c>
      <c r="B37" s="38" t="inlineStr">
        <is>
          <t>0.0</t>
        </is>
      </c>
      <c r="C37" s="38" t="n"/>
      <c r="D37" s="38" t="inlineStr">
        <is>
          <t>ENTRY, GLOBAL_CHECK, STOCKS_EXIT</t>
        </is>
      </c>
      <c r="E37" s="38">
        <f>IF(G57="",E56,IF(G57&gt;0,E56+G57,E56))</f>
        <v/>
      </c>
      <c r="F37" s="26" t="n"/>
      <c r="G37" s="38">
        <f>IFERROR(VLOOKUP($A72&amp;"_"&amp;$B72,Results_Deltas!$A$2:$P$15000,5,FALSE),"")</f>
        <v/>
      </c>
      <c r="H37" s="38" t="inlineStr">
        <is>
          <t>Blanket (page end)</t>
        </is>
      </c>
      <c r="I37" s="26" t="n"/>
      <c r="J37" s="26" t="n"/>
      <c r="K37" s="26" t="n"/>
      <c r="L37" s="26" t="inlineStr">
        <is>
          <t>NO</t>
        </is>
      </c>
      <c r="M37" s="73" t="n">
        <v>24</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9" t="inlineStr">
        <is>
          <t>FG_FEAR_THRESHOLD</t>
        </is>
      </c>
      <c r="B38" s="40" t="inlineStr">
        <is>
          <t>25</t>
        </is>
      </c>
      <c r="C38" s="38" t="n"/>
      <c r="D38" s="38" t="inlineStr">
        <is>
          <t>GLOBAL_CHECK, STOCKS_EXIT</t>
        </is>
      </c>
      <c r="E38" s="38">
        <f>IF(G61="",E60,IF(G61&gt;0,E60+G61,E60))</f>
        <v/>
      </c>
      <c r="F38" s="26" t="n"/>
      <c r="G38" s="38">
        <f>IFERROR(VLOOKUP($A76&amp;"_"&amp;$B76,Results_Deltas!$A$2:$P$15000,5,FALSE),"")</f>
        <v/>
      </c>
      <c r="H38" s="38" t="inlineStr">
        <is>
          <t>Blanket (page end)</t>
        </is>
      </c>
      <c r="I38" s="26" t="n"/>
      <c r="J38" s="26" t="n"/>
      <c r="K38" s="26" t="n"/>
      <c r="L38" s="26" t="inlineStr">
        <is>
          <t>YES</t>
        </is>
      </c>
      <c r="M38" s="73" t="n">
        <v>27</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FG_FEAR_THRESHOLD</t>
        </is>
      </c>
      <c r="B39" s="38" t="inlineStr">
        <is>
          <t>12.5</t>
        </is>
      </c>
      <c r="C39" s="38" t="n"/>
      <c r="D39" s="38" t="inlineStr">
        <is>
          <t>GLOBAL_CHECK, STOCKS_EXIT</t>
        </is>
      </c>
      <c r="E39" s="38">
        <f>IF(G64="",E63,IF(G64&gt;0,E63+G64,E63))</f>
        <v/>
      </c>
      <c r="F39" s="26" t="n"/>
      <c r="G39" s="38">
        <f>IFERROR(VLOOKUP($A79&amp;"_"&amp;$B79,Results_Deltas!$A$2:$P$15000,5,FALSE),"")</f>
        <v/>
      </c>
      <c r="H39" s="38" t="inlineStr">
        <is>
          <t>Blanket (page end)</t>
        </is>
      </c>
      <c r="I39" s="26" t="n"/>
      <c r="J39" s="26" t="n"/>
      <c r="K39" s="26" t="n"/>
      <c r="L39" s="26" t="inlineStr">
        <is>
          <t>NO</t>
        </is>
      </c>
      <c r="M39" s="26"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FG_GREED_THRESHOLD</t>
        </is>
      </c>
      <c r="B40" s="38" t="inlineStr">
        <is>
          <t>93.75</t>
        </is>
      </c>
      <c r="C40" s="38" t="n"/>
      <c r="D40" s="38" t="inlineStr">
        <is>
          <t>GLOBAL_CHECK, STOCKS_EXIT</t>
        </is>
      </c>
      <c r="E40" s="38">
        <f>IF(G66="",E65,IF(G66&gt;0,E65+G66,E65))</f>
        <v/>
      </c>
      <c r="F40" s="26" t="n"/>
      <c r="G40" s="38">
        <f>IFERROR(VLOOKUP($A81&amp;"_"&amp;$B81,Results_Deltas!$A$2:$P$15000,5,FALSE),"")</f>
        <v/>
      </c>
      <c r="H40" s="38" t="inlineStr">
        <is>
          <t>Blanket (page end)</t>
        </is>
      </c>
      <c r="I40" s="26" t="n"/>
      <c r="J40" s="26" t="n"/>
      <c r="K40" s="26" t="n"/>
      <c r="L40" s="26" t="inlineStr">
        <is>
          <t>NO</t>
        </is>
      </c>
      <c r="M40" s="26"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FG_GREED_THRESHOLD</t>
        </is>
      </c>
      <c r="B41" s="38" t="inlineStr">
        <is>
          <t>37.5</t>
        </is>
      </c>
      <c r="C41" s="38" t="n"/>
      <c r="D41" s="38" t="inlineStr">
        <is>
          <t>GLOBAL_CHECK, STOCKS_EXIT</t>
        </is>
      </c>
      <c r="E41" s="38">
        <f>IF(G68="",E67,IF(G68&gt;0,E67+G68,E67))</f>
        <v/>
      </c>
      <c r="F41" s="26" t="n"/>
      <c r="G41" s="38">
        <f>IFERROR(VLOOKUP($A83&amp;"_"&amp;$B83,Results_Deltas!$A$2:$P$15000,5,FALSE),"")</f>
        <v/>
      </c>
      <c r="H41" s="38" t="inlineStr">
        <is>
          <t>Blanket (page end)</t>
        </is>
      </c>
      <c r="I41" s="26" t="n"/>
      <c r="J41" s="26" t="n"/>
      <c r="K41" s="26" t="n"/>
      <c r="L41" s="26" t="inlineStr">
        <is>
          <t>NO</t>
        </is>
      </c>
      <c r="M41" s="26"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FUNDING_GATE_FILTER_TF</t>
        </is>
      </c>
      <c r="B42" s="38" t="inlineStr">
        <is>
          <t>D</t>
        </is>
      </c>
      <c r="C42" s="38" t="n"/>
      <c r="D42" s="38" t="inlineStr">
        <is>
          <t>GLOBAL_CHECK</t>
        </is>
      </c>
      <c r="E42" s="38">
        <f>IF(G70="",E69,IF(G70&gt;0,E69+G70,E69))</f>
        <v/>
      </c>
      <c r="F42" s="26" t="n"/>
      <c r="G42" s="38">
        <f>IFERROR(VLOOKUP($A85&amp;"_"&amp;$B85,Results_Deltas!$A$2:$P$15000,5,FALSE),"")</f>
        <v/>
      </c>
      <c r="H42" s="38" t="inlineStr">
        <is>
          <t>Blanket (page end)</t>
        </is>
      </c>
      <c r="I42" s="26" t="n"/>
      <c r="J42" s="26" t="n"/>
      <c r="K42" s="26" t="n"/>
      <c r="L42" s="26" t="inlineStr">
        <is>
          <t>NO</t>
        </is>
      </c>
      <c r="M42" s="26"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FUNDING_GATE_FILTER_TF</t>
        </is>
      </c>
      <c r="B43" s="38" t="inlineStr">
        <is>
          <t>4h</t>
        </is>
      </c>
      <c r="C43" s="38" t="n"/>
      <c r="D43" s="38" t="inlineStr">
        <is>
          <t>GLOBAL_CHECK</t>
        </is>
      </c>
      <c r="E43" s="38">
        <f>IF(G71="",E70,IF(G71&gt;0,E70+G71,E70))</f>
        <v/>
      </c>
      <c r="F43" s="26" t="n"/>
      <c r="G43" s="38">
        <f>IFERROR(VLOOKUP($A86&amp;"_"&amp;$B86,Results_Deltas!$A$2:$P$15000,5,FALSE),"")</f>
        <v/>
      </c>
      <c r="H43" s="38" t="inlineStr">
        <is>
          <t>Blanket (page end)</t>
        </is>
      </c>
      <c r="I43" s="26" t="n"/>
      <c r="J43" s="26" t="n"/>
      <c r="K43" s="26" t="n"/>
      <c r="L43" s="26" t="inlineStr">
        <is>
          <t>NO</t>
        </is>
      </c>
      <c r="M43" s="26"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FUNDING_GATE_FILTER_TF</t>
        </is>
      </c>
      <c r="B44" s="38" t="inlineStr">
        <is>
          <t>1h</t>
        </is>
      </c>
      <c r="C44" s="38" t="n"/>
      <c r="D44" s="38" t="inlineStr">
        <is>
          <t>GLOBAL_CHECK</t>
        </is>
      </c>
      <c r="E44" s="38">
        <f>IF(G72="",E71,IF(G72&gt;0,E71+G72,E71))</f>
        <v/>
      </c>
      <c r="F44" s="26" t="n"/>
      <c r="G44" s="38">
        <f>IFERROR(VLOOKUP($A87&amp;"_"&amp;$B87,Results_Deltas!$A$2:$P$15000,5,FALSE),"")</f>
        <v/>
      </c>
      <c r="H44" s="38" t="inlineStr">
        <is>
          <t>Blanket (page end)</t>
        </is>
      </c>
      <c r="I44" s="26" t="n"/>
      <c r="J44" s="26" t="n"/>
      <c r="K44" s="26" t="n"/>
      <c r="L44" s="26" t="inlineStr">
        <is>
          <t>NO</t>
        </is>
      </c>
      <c r="M44" s="26"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GOLDEN_RULE_BASE_USD</t>
        </is>
      </c>
      <c r="B45" s="38" t="inlineStr">
        <is>
          <t>0.0</t>
        </is>
      </c>
      <c r="C45" s="38" t="n"/>
      <c r="D45" s="38" t="inlineStr">
        <is>
          <t>GLOBAL_CHECK, STOCKS_EXIT</t>
        </is>
      </c>
      <c r="E45" s="38">
        <f>IF(G80="",E79,IF(G80&gt;0,E79+G80,E79))</f>
        <v/>
      </c>
      <c r="F45" s="26" t="n"/>
      <c r="G45" s="38">
        <f>IFERROR(VLOOKUP($A95&amp;"_"&amp;$B95,Results_Deltas!$A$2:$P$15000,5,FALSE),"")</f>
        <v/>
      </c>
      <c r="H45" s="38" t="inlineStr">
        <is>
          <t>Blanket (page end)</t>
        </is>
      </c>
      <c r="I45" s="26" t="n"/>
      <c r="J45" s="26" t="n"/>
      <c r="K45" s="26" t="n"/>
      <c r="L45" s="26" t="inlineStr">
        <is>
          <t>NO</t>
        </is>
      </c>
      <c r="M45" s="26"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GR_FILTER_VEC_ENABLED</t>
        </is>
      </c>
      <c r="B46" s="38" t="inlineStr">
        <is>
          <t>True</t>
        </is>
      </c>
      <c r="C46" s="38" t="n"/>
      <c r="D46" s="38" t="inlineStr">
        <is>
          <t>GLOBAL_CHECK</t>
        </is>
      </c>
      <c r="E46" s="38">
        <f>IF(G85="",E84,IF(G85&gt;0,E84+G85,E84))</f>
        <v/>
      </c>
      <c r="F46" s="26" t="n"/>
      <c r="G46" s="38">
        <f>IFERROR(VLOOKUP($A100&amp;"_"&amp;$B100,Results_Deltas!$A$2:$P$15000,5,FALSE),"")</f>
        <v/>
      </c>
      <c r="H46" s="38" t="inlineStr">
        <is>
          <t>Blanket (page end)</t>
        </is>
      </c>
      <c r="I46" s="26" t="n"/>
      <c r="J46" s="26" t="n"/>
      <c r="K46" s="26" t="n"/>
      <c r="L46" s="26" t="inlineStr">
        <is>
          <t>NO</t>
        </is>
      </c>
      <c r="M46" s="26"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GR_FILTER_VEC_MIN_TFS</t>
        </is>
      </c>
      <c r="B47" s="40" t="inlineStr">
        <is>
          <t>2</t>
        </is>
      </c>
      <c r="C47" s="38" t="n"/>
      <c r="D47" s="38" t="inlineStr">
        <is>
          <t>GLOBAL_CHECK</t>
        </is>
      </c>
      <c r="E47" s="38">
        <f>IF(G87="",E86,IF(G87&gt;0,E86+G87,E86))</f>
        <v/>
      </c>
      <c r="F47" s="26" t="n"/>
      <c r="G47" s="38">
        <f>IFERROR(VLOOKUP($A102&amp;"_"&amp;$B102,Results_Deltas!$A$2:$P$15000,5,FALSE),"")</f>
        <v/>
      </c>
      <c r="H47" s="38" t="inlineStr">
        <is>
          <t>Blanket (page end)</t>
        </is>
      </c>
      <c r="I47" s="26" t="n"/>
      <c r="J47" s="26" t="n"/>
      <c r="K47" s="26" t="n"/>
      <c r="L47" s="26" t="inlineStr">
        <is>
          <t>YES</t>
        </is>
      </c>
      <c r="M47" s="26"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GR_FILTER_VEC_MIN_TFS</t>
        </is>
      </c>
      <c r="B48" s="38" t="inlineStr">
        <is>
          <t>1</t>
        </is>
      </c>
      <c r="C48" s="38" t="n"/>
      <c r="D48" s="38" t="inlineStr">
        <is>
          <t>GLOBAL_CHECK</t>
        </is>
      </c>
      <c r="E48" s="38">
        <f>IF(G88="",E87,IF(G88&gt;0,E87+G88,E87))</f>
        <v/>
      </c>
      <c r="F48" s="26" t="n"/>
      <c r="G48" s="38">
        <f>IFERROR(VLOOKUP($A103&amp;"_"&amp;$B103,Results_Deltas!$A$2:$P$15000,5,FALSE),"")</f>
        <v/>
      </c>
      <c r="H48" s="38" t="inlineStr">
        <is>
          <t>Blanket (page end)</t>
        </is>
      </c>
      <c r="I48" s="26" t="n"/>
      <c r="J48" s="26" t="n"/>
      <c r="K48" s="26" t="n"/>
      <c r="L48" s="26" t="inlineStr">
        <is>
          <t>NO</t>
        </is>
      </c>
      <c r="M48" s="26"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HA_WICK_QUALITY_ENABLED</t>
        </is>
      </c>
      <c r="B49" s="40" t="inlineStr">
        <is>
          <t>False</t>
        </is>
      </c>
      <c r="C49" s="38" t="n"/>
      <c r="D49" s="38" t="inlineStr">
        <is>
          <t>ENTRY, GLOBAL_CHECK, STOCKS_EXIT</t>
        </is>
      </c>
      <c r="E49" s="38">
        <f>IF(G89="",E88,IF(G89&gt;0,E88+G89,E88))</f>
        <v/>
      </c>
      <c r="F49" s="26" t="n"/>
      <c r="G49" s="38">
        <f>IFERROR(VLOOKUP($A104&amp;"_"&amp;$B104,Results_Deltas!$A$2:$P$15000,5,FALSE),"")</f>
        <v/>
      </c>
      <c r="H49" s="38" t="inlineStr">
        <is>
          <t>Blanket (page end)</t>
        </is>
      </c>
      <c r="I49" s="26" t="n"/>
      <c r="J49" s="26" t="n"/>
      <c r="K49" s="26" t="n"/>
      <c r="L49" s="26" t="inlineStr">
        <is>
          <t>YES</t>
        </is>
      </c>
      <c r="M49" s="26" t="n">
        <v>9</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HA_WICK_QUALITY_ENABLED</t>
        </is>
      </c>
      <c r="B50" s="38" t="inlineStr">
        <is>
          <t>True</t>
        </is>
      </c>
      <c r="C50" s="38" t="n"/>
      <c r="D50" s="38" t="inlineStr">
        <is>
          <t>ENTRY, GLOBAL_CHECK, STOCKS_EXIT</t>
        </is>
      </c>
      <c r="E50" s="38">
        <f>IF(G90="",E89,IF(G90&gt;0,E89+G90,E89))</f>
        <v/>
      </c>
      <c r="F50" s="26" t="n"/>
      <c r="G50" s="38">
        <f>IFERROR(VLOOKUP($A105&amp;"_"&amp;$B105,Results_Deltas!$A$2:$P$15000,5,FALSE),"")</f>
        <v/>
      </c>
      <c r="H50" s="38" t="inlineStr">
        <is>
          <t>Blanket (page end)</t>
        </is>
      </c>
      <c r="I50" s="26" t="n"/>
      <c r="J50" s="26" t="n"/>
      <c r="K50" s="26" t="n"/>
      <c r="L50" s="26" t="inlineStr">
        <is>
          <t>NO</t>
        </is>
      </c>
      <c r="M50" s="26"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LH_HL_FILTER_ENABLED</t>
        </is>
      </c>
      <c r="B51" s="38" t="inlineStr">
        <is>
          <t>True</t>
        </is>
      </c>
      <c r="C51" s="38" t="n"/>
      <c r="D51" s="38" t="inlineStr">
        <is>
          <t>ENTRY, GLOBAL_CHECK, STOCKS_EXIT</t>
        </is>
      </c>
      <c r="E51" s="38">
        <f>IF(G122="",E121,IF(G122&gt;0,E121+G122,E121))</f>
        <v/>
      </c>
      <c r="F51" s="26" t="n"/>
      <c r="G51" s="38">
        <f>IFERROR(VLOOKUP($A137&amp;"_"&amp;$B137,Results_Deltas!$A$2:$P$15000,5,FALSE),"")</f>
        <v/>
      </c>
      <c r="H51" s="38" t="inlineStr">
        <is>
          <t>Blanket (page end)</t>
        </is>
      </c>
      <c r="I51" s="26" t="n"/>
      <c r="J51" s="26" t="n"/>
      <c r="K51" s="26" t="n"/>
      <c r="L51" s="26" t="inlineStr">
        <is>
          <t>NO</t>
        </is>
      </c>
      <c r="M51" s="26" t="n">
        <v>27</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LH_HL_FILTER_MODE</t>
        </is>
      </c>
      <c r="B52" s="40" t="inlineStr">
        <is>
          <t>STRICT_2BAR</t>
        </is>
      </c>
      <c r="C52" s="38" t="n"/>
      <c r="D52" s="38" t="inlineStr">
        <is>
          <t>ENTRY, GLOBAL_CHECK, STOCKS_EXIT</t>
        </is>
      </c>
      <c r="E52" s="38">
        <f>IF(G123="",E122,IF(G123&gt;0,E122+G123,E122))</f>
        <v/>
      </c>
      <c r="F52" s="26" t="n"/>
      <c r="G52" s="38">
        <f>IFERROR(VLOOKUP($A138&amp;"_"&amp;$B138,Results_Deltas!$A$2:$P$15000,5,FALSE),"")</f>
        <v/>
      </c>
      <c r="H52" s="38" t="inlineStr">
        <is>
          <t>Blanket (page end)</t>
        </is>
      </c>
      <c r="I52" s="26" t="n"/>
      <c r="J52" s="26" t="n"/>
      <c r="K52" s="26" t="n"/>
      <c r="L52" s="26" t="inlineStr">
        <is>
          <t>YES</t>
        </is>
      </c>
      <c r="M52" s="26"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LH_HL_FILTER_REQUIRE_BOTH</t>
        </is>
      </c>
      <c r="B53" s="40" t="inlineStr">
        <is>
          <t>False</t>
        </is>
      </c>
      <c r="C53" s="38" t="n"/>
      <c r="D53" s="38" t="inlineStr">
        <is>
          <t>ENTRY, GLOBAL_CHECK, STOCKS_EXIT</t>
        </is>
      </c>
      <c r="E53" s="38">
        <f>IF(G125="",E124,IF(G125&gt;0,E124+G125,E124))</f>
        <v/>
      </c>
      <c r="F53" s="26" t="n"/>
      <c r="G53" s="38">
        <f>IFERROR(VLOOKUP($A140&amp;"_"&amp;$B140,Results_Deltas!$A$2:$P$15000,5,FALSE),"")</f>
        <v/>
      </c>
      <c r="H53" s="38" t="inlineStr">
        <is>
          <t>Blanket (page end)</t>
        </is>
      </c>
      <c r="I53" s="26" t="n"/>
      <c r="J53" s="26" t="n"/>
      <c r="K53" s="26" t="n"/>
      <c r="L53" s="26" t="inlineStr">
        <is>
          <t>YES</t>
        </is>
      </c>
      <c r="M53" s="26" t="n">
        <v>9</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9" t="inlineStr">
        <is>
          <t>LIVE_VEC_EMERGENCY_BRAKE_ENABLED</t>
        </is>
      </c>
      <c r="B54" s="40" t="inlineStr">
        <is>
          <t>False</t>
        </is>
      </c>
      <c r="C54" s="38" t="n"/>
      <c r="D54" s="38" t="inlineStr">
        <is>
          <t>GLOBAL_CHECK, STOCKS_EXIT</t>
        </is>
      </c>
      <c r="E54" s="38">
        <f>IF(G127="",E126,IF(G127&gt;0,E126+G127,E126))</f>
        <v/>
      </c>
      <c r="F54" s="26" t="n"/>
      <c r="G54" s="38">
        <f>IFERROR(VLOOKUP($A142&amp;"_"&amp;$B142,Results_Deltas!$A$2:$P$15000,5,FALSE),"")</f>
        <v/>
      </c>
      <c r="H54" s="38" t="inlineStr">
        <is>
          <t>Blanket (page end)</t>
        </is>
      </c>
      <c r="I54" s="26" t="n"/>
      <c r="J54" s="26" t="n"/>
      <c r="K54" s="26" t="n"/>
      <c r="L54" s="26" t="inlineStr">
        <is>
          <t>YES</t>
        </is>
      </c>
      <c r="M54" s="26" t="n">
        <v>9</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LIVE_VEC_EMERGENCY_BRAKE_ENABLED</t>
        </is>
      </c>
      <c r="B55" s="38" t="inlineStr">
        <is>
          <t>True</t>
        </is>
      </c>
      <c r="C55" s="38" t="n"/>
      <c r="D55" s="38" t="inlineStr">
        <is>
          <t>GLOBAL_CHECK, STOCKS_EXIT</t>
        </is>
      </c>
      <c r="E55" s="38">
        <f>IF(G128="",E127,IF(G128&gt;0,E127+G128,E127))</f>
        <v/>
      </c>
      <c r="F55" s="26" t="n"/>
      <c r="G55" s="38">
        <f>IFERROR(VLOOKUP($A143&amp;"_"&amp;$B143,Results_Deltas!$A$2:$P$15000,5,FALSE),"")</f>
        <v/>
      </c>
      <c r="H55" s="38" t="inlineStr">
        <is>
          <t>Blanket (page end)</t>
        </is>
      </c>
      <c r="I55" s="26" t="n"/>
      <c r="J55" s="26" t="n"/>
      <c r="K55" s="26" t="n"/>
      <c r="L55" s="26" t="inlineStr">
        <is>
          <t>NO</t>
        </is>
      </c>
      <c r="M55" s="26" t="n">
        <v>23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LR_BAND_LADDER_TF_BOTTOM</t>
        </is>
      </c>
      <c r="B56" s="38" t="inlineStr">
        <is>
          <t>0</t>
        </is>
      </c>
      <c r="C56" s="38" t="n"/>
      <c r="D56" s="38" t="inlineStr">
        <is>
          <t>GLOBAL_CHECK, STOCKS_EXIT</t>
        </is>
      </c>
      <c r="E56" s="38">
        <f>IF(G131="",E130,IF(G131&gt;0,E130+G131,E130))</f>
        <v/>
      </c>
      <c r="F56" s="26" t="n"/>
      <c r="G56" s="38">
        <f>IFERROR(VLOOKUP($A146&amp;"_"&amp;$B146,Results_Deltas!$A$2:$P$15000,5,FALSE),"")</f>
        <v/>
      </c>
      <c r="H56" s="38" t="inlineStr">
        <is>
          <t>Blanket (page end)</t>
        </is>
      </c>
      <c r="I56" s="26" t="n"/>
      <c r="J56" s="26" t="n"/>
      <c r="K56" s="26" t="n"/>
      <c r="L56" s="26" t="inlineStr">
        <is>
          <t>NO</t>
        </is>
      </c>
      <c r="M56" s="26"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MTS_BOTTOM_STRONG_THRESHOLD</t>
        </is>
      </c>
      <c r="B57" s="38" t="inlineStr">
        <is>
          <t>20</t>
        </is>
      </c>
      <c r="C57" s="38" t="n"/>
      <c r="D57" s="38" t="inlineStr">
        <is>
          <t>ENTRY, GLOBAL_CHECK, STOCKS_EXIT</t>
        </is>
      </c>
      <c r="E57" s="38">
        <f>IF(G163="",E162,IF(G163&gt;0,E162+G163,E162))</f>
        <v/>
      </c>
      <c r="F57" s="26" t="n"/>
      <c r="G57" s="38">
        <f>IFERROR(VLOOKUP($A178&amp;"_"&amp;$B178,Results_Deltas!$A$2:$P$15000,5,FALSE),"")</f>
        <v/>
      </c>
      <c r="H57" s="38" t="inlineStr">
        <is>
          <t>Blanket (page end)</t>
        </is>
      </c>
      <c r="I57" s="26" t="n"/>
      <c r="J57" s="26" t="n"/>
      <c r="K57" s="26" t="n"/>
      <c r="L57" s="26" t="inlineStr">
        <is>
          <t>NO</t>
        </is>
      </c>
      <c r="M57" s="26" t="n">
        <v>26</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MTS_GATE_ENABLED</t>
        </is>
      </c>
      <c r="B58" s="38" t="inlineStr">
        <is>
          <t>False</t>
        </is>
      </c>
      <c r="C58" s="38" t="n"/>
      <c r="D58" s="38" t="inlineStr">
        <is>
          <t>ENTRY, GLOBAL_CHECK, STOCKS_EXIT</t>
        </is>
      </c>
      <c r="E58" s="38">
        <f>IF(G164="",E163,IF(G164&gt;0,E163+G164,E163))</f>
        <v/>
      </c>
      <c r="F58" s="26" t="n"/>
      <c r="G58" s="38">
        <f>IFERROR(VLOOKUP($A179&amp;"_"&amp;$B179,Results_Deltas!$A$2:$P$15000,5,FALSE),"")</f>
        <v/>
      </c>
      <c r="H58" s="38" t="inlineStr">
        <is>
          <t>Blanket (page end)</t>
        </is>
      </c>
      <c r="I58" s="26" t="n"/>
      <c r="J58" s="26" t="n"/>
      <c r="K58" s="26" t="n"/>
      <c r="L58" s="26" t="inlineStr">
        <is>
          <t>NO</t>
        </is>
      </c>
      <c r="M58" s="26" t="n">
        <v>9</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NEWBORN_LOSS_KILL_GAIN_THRESHOLD_PCT</t>
        </is>
      </c>
      <c r="B59" s="38" t="inlineStr">
        <is>
          <t>2.0</t>
        </is>
      </c>
      <c r="C59" s="38" t="n"/>
      <c r="D59" s="38" t="inlineStr">
        <is>
          <t>AUGMENT, EXIT, GLOBAL_CHECK, REDUCE, STOCKS_EXIT</t>
        </is>
      </c>
      <c r="E59" s="38">
        <f>IF(G167="",E166,IF(G167&gt;0,E166+G167,E166))</f>
        <v/>
      </c>
      <c r="F59" s="26" t="n"/>
      <c r="G59" s="38">
        <f>IFERROR(VLOOKUP($A182&amp;"_"&amp;$B182,Results_Deltas!$A$2:$P$15000,5,FALSE),"")</f>
        <v/>
      </c>
      <c r="H59" s="38" t="inlineStr">
        <is>
          <t>Blanket (page end)</t>
        </is>
      </c>
      <c r="I59" s="26" t="n"/>
      <c r="J59" s="26" t="n"/>
      <c r="K59" s="26" t="n"/>
      <c r="L59" s="26" t="inlineStr">
        <is>
          <t>NO</t>
        </is>
      </c>
      <c r="M59" s="26" t="n">
        <v>24</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NEWBORN_LOSS_KILL_GAIN_THRESHOLD_PCT</t>
        </is>
      </c>
      <c r="B60" s="38" t="inlineStr">
        <is>
          <t>1.0</t>
        </is>
      </c>
      <c r="C60" s="38" t="n"/>
      <c r="D60" s="38" t="inlineStr">
        <is>
          <t>AUGMENT, EXIT, GLOBAL_CHECK, REDUCE, STOCKS_EXIT</t>
        </is>
      </c>
      <c r="E60" s="38">
        <f>IF(G168="",E167,IF(G168&gt;0,E167+G168,E167))</f>
        <v/>
      </c>
      <c r="F60" s="26" t="n"/>
      <c r="G60" s="38">
        <f>IFERROR(VLOOKUP($A183&amp;"_"&amp;$B183,Results_Deltas!$A$2:$P$15000,5,FALSE),"")</f>
        <v/>
      </c>
      <c r="H60" s="38" t="inlineStr">
        <is>
          <t>Blanket (page end)</t>
        </is>
      </c>
      <c r="I60" s="26" t="n"/>
      <c r="J60" s="26" t="n"/>
      <c r="K60" s="26" t="n"/>
      <c r="L60" s="26" t="inlineStr">
        <is>
          <t>NO</t>
        </is>
      </c>
      <c r="M60" s="26" t="n">
        <v>22</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NEW_POSITION_MAX_LOSS_THRESHOLD</t>
        </is>
      </c>
      <c r="B61" s="38" t="inlineStr">
        <is>
          <t>1.0</t>
        </is>
      </c>
      <c r="C61" s="38" t="n"/>
      <c r="D61" s="38" t="inlineStr">
        <is>
          <t>AUGMENT, EXIT, GLOBAL_CHECK, REDUCE, STOCKS_EXIT</t>
        </is>
      </c>
      <c r="E61" s="38">
        <f>IF(G174="",E173,IF(G174&gt;0,E173+G174,E173))</f>
        <v/>
      </c>
      <c r="F61" s="26" t="n"/>
      <c r="G61" s="38">
        <f>IFERROR(VLOOKUP($A189&amp;"_"&amp;$B189,Results_Deltas!$A$2:$P$15000,5,FALSE),"")</f>
        <v/>
      </c>
      <c r="H61" s="38" t="inlineStr">
        <is>
          <t>Blanket (page end)</t>
        </is>
      </c>
      <c r="I61" s="26" t="n"/>
      <c r="J61" s="26" t="n"/>
      <c r="K61" s="26" t="n"/>
      <c r="L61" s="26" t="inlineStr">
        <is>
          <t>NO</t>
        </is>
      </c>
      <c r="M61" s="26"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OI_CONFIRM_ENABLED</t>
        </is>
      </c>
      <c r="B62" s="38" t="inlineStr">
        <is>
          <t>False</t>
        </is>
      </c>
      <c r="C62" s="38" t="n"/>
      <c r="D62" s="38" t="inlineStr">
        <is>
          <t>ENTRY, GLOBAL_CHECK, STOCKS_EXIT</t>
        </is>
      </c>
      <c r="E62" s="38">
        <f>IF(G176="",E175,IF(G176&gt;0,E175+G176,E175))</f>
        <v/>
      </c>
      <c r="F62" s="26" t="n"/>
      <c r="G62" s="38">
        <f>IFERROR(VLOOKUP($A191&amp;"_"&amp;$B191,Results_Deltas!$A$2:$P$15000,5,FALSE),"")</f>
        <v/>
      </c>
      <c r="H62" s="38" t="inlineStr">
        <is>
          <t>Blanket (page end)</t>
        </is>
      </c>
      <c r="I62" s="26" t="n"/>
      <c r="J62" s="26" t="n"/>
      <c r="K62" s="26" t="n"/>
      <c r="L62" s="26" t="inlineStr">
        <is>
          <t>NO</t>
        </is>
      </c>
      <c r="M62" s="26" t="n">
        <v>9</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0" t="inlineStr">
        <is>
          <t>DELTA_GATE_BB_SQUEEZE</t>
        </is>
      </c>
      <c r="B63" s="0" t="inlineStr">
        <is>
          <t>False</t>
        </is>
      </c>
      <c r="L63" s="0" t="inlineStr">
        <is>
          <t>NO</t>
        </is>
      </c>
      <c r="M63" s="0" t="n">
        <v>0</v>
      </c>
      <c r="N63" s="0" t="n">
        <v>0</v>
      </c>
    </row>
    <row r="64" ht="15.75" customHeight="1" s="67">
      <c r="A64" s="0" t="inlineStr">
        <is>
          <t>BB_BOUNCE_ENTRY_TF</t>
        </is>
      </c>
      <c r="B64" s="0" t="inlineStr">
        <is>
          <t>15m</t>
        </is>
      </c>
      <c r="D64" s="0" t="inlineStr">
        <is>
          <t>BOUNCE_BB</t>
        </is>
      </c>
      <c r="G64" s="0">
        <f>IFERROR(VLOOKUP($A197&amp;"_"&amp;$B197,Results_Deltas!$A$2:$P$15000,5,FALSE),"")</f>
        <v/>
      </c>
      <c r="L64" s="0" t="inlineStr">
        <is>
          <t>NO</t>
        </is>
      </c>
      <c r="M64" s="0" t="n">
        <v>0</v>
      </c>
      <c r="N64" s="0" t="n">
        <v>0</v>
      </c>
    </row>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35" t="inlineStr">
        <is>
          <t>BAND_SLOPE_SIZING_V2_TF</t>
        </is>
      </c>
      <c r="B3" s="35" t="inlineStr">
        <is>
          <t>4h</t>
        </is>
      </c>
      <c r="D3" s="35" t="inlineStr">
        <is>
          <t>STDEV_LADDER</t>
        </is>
      </c>
      <c r="E3" s="35">
        <f>IF(G3="",E2,IF(G3&gt;0,E2+G3,E2))</f>
        <v/>
      </c>
      <c r="F3" s="35">
        <f>IFERROR(VLOOKUP($A27&amp;"="&amp;$B27,Results_Deltas!$A$2:$P$15000,5,FALSE),"")</f>
        <v/>
      </c>
      <c r="G3" s="35">
        <f>IFERROR(VLOOKUP($A27,Results_30d_Deltas!$A$2:$H$5000,7,FALSE)-E27,"")</f>
        <v/>
      </c>
      <c r="H3" s="35">
        <f>IFERROR(VLOOKUP($A27,Results_30d_Deltas!$A$2:$H$5000,6,FALSE),"")</f>
        <v/>
      </c>
      <c r="L3" s="35" t="inlineStr">
        <is>
          <t>NO</t>
        </is>
      </c>
      <c r="M3" s="74" t="n">
        <v>0</v>
      </c>
      <c r="N3" s="71" t="n">
        <v>0</v>
      </c>
    </row>
    <row r="4" s="67">
      <c r="A4" s="35" t="inlineStr">
        <is>
          <t>STDEV_SLOPE_SIZING_MODE</t>
        </is>
      </c>
      <c r="B4" s="35" t="inlineStr">
        <is>
          <t>bottom_to_top</t>
        </is>
      </c>
      <c r="D4" s="35" t="inlineStr">
        <is>
          <t>STDEV_LADDER</t>
        </is>
      </c>
      <c r="E4" s="35">
        <f>IF(G4="",E3,IF(G4&gt;0,E3+G4,E3))</f>
        <v/>
      </c>
      <c r="F4" s="35">
        <f>IFERROR(VLOOKUP($A25&amp;"="&amp;$B25,Results_Deltas!$A$2:$P$15000,5,FALSE),"")</f>
        <v/>
      </c>
      <c r="G4" s="35">
        <f>IFERROR(VLOOKUP($A25,Results_30d_Deltas!$A$2:$H$5000,7,FALSE)-E25,"")</f>
        <v/>
      </c>
      <c r="H4" s="35">
        <f>IFERROR(VLOOKUP($A25,Results_30d_Deltas!$A$2:$H$5000,6,FALSE),"")</f>
        <v/>
      </c>
      <c r="L4" s="35" t="inlineStr">
        <is>
          <t>NO</t>
        </is>
      </c>
      <c r="M4" s="74" t="n">
        <v>0</v>
      </c>
      <c r="N4" s="71" t="n">
        <v>0</v>
      </c>
    </row>
    <row r="5" s="67">
      <c r="A5" s="26" t="inlineStr">
        <is>
          <t>BAND_SLOPE_SIZING_V2_TF</t>
        </is>
      </c>
      <c r="B5" s="26" t="inlineStr">
        <is>
          <t>D</t>
        </is>
      </c>
      <c r="C5" s="26" t="n"/>
      <c r="D5" s="26" t="inlineStr">
        <is>
          <t>STDEV_LADDER</t>
        </is>
      </c>
      <c r="E5" s="26">
        <f>IF(G5="",E4,IF(G5&gt;0,E4+G5,E4))</f>
        <v/>
      </c>
      <c r="F5" s="26" t="n"/>
      <c r="G5" s="26">
        <f>IFERROR(VLOOKUP($A14&amp;"_"&amp;$B14,Results_Deltas!$A$2:$P$15000,5,FALSE),"")</f>
        <v/>
      </c>
      <c r="H5" s="26">
        <f>IFERROR(VLOOKUP($A3,Results_30d_Deltas!$A$2:$H$5000,7,FALSE)-E3,"")</f>
        <v/>
      </c>
      <c r="I5" s="26">
        <f>IFERROR(VLOOKUP($A3,Results_30d_Deltas!$A$2:$H$5000,6,FALSE),"")</f>
        <v/>
      </c>
      <c r="J5" s="26" t="n"/>
      <c r="K5" s="26" t="n"/>
      <c r="L5" s="26" t="inlineStr">
        <is>
          <t>NO</t>
        </is>
      </c>
      <c r="M5" s="74" t="n">
        <v>6</v>
      </c>
      <c r="N5" s="71" t="n">
        <v>0</v>
      </c>
    </row>
    <row r="6" s="67">
      <c r="A6" s="27" t="inlineStr">
        <is>
          <t>STDEV_SLOPE_SIZING_MODE</t>
        </is>
      </c>
      <c r="B6" s="27" t="inlineStr">
        <is>
          <t>slope_to_top</t>
        </is>
      </c>
      <c r="C6" s="26" t="n"/>
      <c r="D6" s="26" t="inlineStr">
        <is>
          <t>STDEV_LADDER</t>
        </is>
      </c>
      <c r="E6" s="26">
        <f>IF(G6="",E5,IF(G6&gt;0,E5+G6,E5))</f>
        <v/>
      </c>
      <c r="F6" s="26" t="n"/>
      <c r="G6" s="26">
        <f>IFERROR(VLOOKUP($A18&amp;"_"&amp;$B18,Results_Deltas!$A$2:$P$15000,5,FALSE),"")</f>
        <v/>
      </c>
      <c r="H6" s="26">
        <f>IFERROR(VLOOKUP($A3,Results_30d_Deltas!$A$2:$H$5000,7,FALSE)-E3,"")</f>
        <v/>
      </c>
      <c r="I6" s="26" t="n"/>
      <c r="J6" s="26" t="n"/>
      <c r="K6" s="26" t="n"/>
      <c r="L6" s="26" t="inlineStr">
        <is>
          <t>YES</t>
        </is>
      </c>
      <c r="M6" s="74" t="n">
        <v>5</v>
      </c>
      <c r="N6" s="71" t="n">
        <v>0</v>
      </c>
    </row>
    <row r="7" s="67">
      <c r="A7" s="35" t="inlineStr">
        <is>
          <t>STDEV_SLOPE_SIZING_D_MAX</t>
        </is>
      </c>
      <c r="B7" s="35" t="n">
        <v>1</v>
      </c>
      <c r="D7" s="35" t="inlineStr">
        <is>
          <t>STDEV_LADDER</t>
        </is>
      </c>
      <c r="E7" s="35">
        <f>IF(G10="",E9,IF(G10&gt;0,E9+G10,E9))</f>
        <v/>
      </c>
      <c r="F7" s="35">
        <f>IFERROR(VLOOKUP($A21&amp;"="&amp;$B21,Results_Deltas!$A$2:$P$15000,5,FALSE),"")</f>
        <v/>
      </c>
      <c r="G7" s="35">
        <f>IFERROR(VLOOKUP($A21,Results_30d_Deltas!$A$2:$H$5000,7,FALSE)-E21,"")</f>
        <v/>
      </c>
      <c r="H7" s="35">
        <f>IFERROR(VLOOKUP($A21,Results_30d_Deltas!$A$2:$H$5000,6,FALSE),"")</f>
        <v/>
      </c>
      <c r="L7" s="35" t="inlineStr">
        <is>
          <t>NO</t>
        </is>
      </c>
      <c r="M7" s="74" t="n">
        <v>0</v>
      </c>
      <c r="N7" s="71" t="n">
        <v>0</v>
      </c>
    </row>
    <row r="8" s="67">
      <c r="A8" s="35" t="inlineStr">
        <is>
          <t>STDEV_SLOPE_SIZING_4H_MAX</t>
        </is>
      </c>
      <c r="B8" s="35" t="n">
        <v>1</v>
      </c>
      <c r="D8" s="35" t="inlineStr">
        <is>
          <t>STDEV_LADDER</t>
        </is>
      </c>
      <c r="E8" s="35">
        <f>IF(G11="",E10,IF(G11&gt;0,E10+G11,E10))</f>
        <v/>
      </c>
      <c r="F8" s="35">
        <f>IFERROR(VLOOKUP($A22&amp;"="&amp;$B22,Results_Deltas!$A$2:$P$15000,5,FALSE),"")</f>
        <v/>
      </c>
      <c r="G8" s="35">
        <f>IFERROR(VLOOKUP($A22,Results_30d_Deltas!$A$2:$H$5000,7,FALSE)-E22,"")</f>
        <v/>
      </c>
      <c r="H8" s="35">
        <f>IFERROR(VLOOKUP($A22,Results_30d_Deltas!$A$2:$H$5000,6,FALSE),"")</f>
        <v/>
      </c>
      <c r="L8" s="35" t="inlineStr">
        <is>
          <t>NO</t>
        </is>
      </c>
      <c r="M8" s="74" t="n">
        <v>0</v>
      </c>
      <c r="N8" s="71" t="n">
        <v>0</v>
      </c>
    </row>
    <row r="9" s="67">
      <c r="A9" s="35" t="inlineStr">
        <is>
          <t>STDEV_SLOPE_SIZING_1H_MAX</t>
        </is>
      </c>
      <c r="B9" s="35" t="n">
        <v>1</v>
      </c>
      <c r="D9" s="35" t="inlineStr">
        <is>
          <t>STDEV_LADDER</t>
        </is>
      </c>
      <c r="E9" s="35">
        <f>IF(G12="",E11,IF(G12&gt;0,E11+G12,E11))</f>
        <v/>
      </c>
      <c r="F9" s="35">
        <f>IFERROR(VLOOKUP($A23&amp;"="&amp;$B23,Results_Deltas!$A$2:$P$15000,5,FALSE),"")</f>
        <v/>
      </c>
      <c r="G9" s="35">
        <f>IFERROR(VLOOKUP($A23,Results_30d_Deltas!$A$2:$H$5000,7,FALSE)-E23,"")</f>
        <v/>
      </c>
      <c r="H9" s="35">
        <f>IFERROR(VLOOKUP($A23,Results_30d_Deltas!$A$2:$H$5000,6,FALSE),"")</f>
        <v/>
      </c>
      <c r="L9" s="35" t="inlineStr">
        <is>
          <t>NO</t>
        </is>
      </c>
      <c r="M9" s="74" t="n">
        <v>0</v>
      </c>
      <c r="N9" s="71" t="n">
        <v>0</v>
      </c>
    </row>
    <row r="10" s="67"/>
    <row r="11" s="67"/>
    <row r="12"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1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ATR_ADAPTIVE_SIZING_TARGET_PCT</t>
        </is>
      </c>
      <c r="B3" s="26" t="inlineStr">
        <is>
          <t>1.0</t>
        </is>
      </c>
      <c r="C3" s="26" t="n"/>
      <c r="D3" s="26" t="n"/>
      <c r="E3" s="26" t="n"/>
      <c r="F3" s="26" t="n"/>
      <c r="G3" s="26">
        <f>IFERROR(VLOOKUP($A24&amp;"_"&amp;$B24,Results_Deltas!$A$2:$P$15000,5,FALSE),"")</f>
        <v/>
      </c>
      <c r="H3" s="26">
        <f>IFERROR(VLOOKUP($A24,Results_30d_Deltas!$A$2:$H$5000,7,FALSE)-E23,"")</f>
        <v/>
      </c>
      <c r="I3" s="26">
        <f>IFERROR(VLOOKUP($A24,Results_30d_Deltas!$A$2:$H$5000,6,FALSE),"")</f>
        <v/>
      </c>
      <c r="J3" s="26" t="n"/>
      <c r="K3" s="26" t="n"/>
      <c r="L3" s="26" t="inlineStr">
        <is>
          <t>NO</t>
        </is>
      </c>
      <c r="M3" s="74" t="n">
        <v>25</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72" t="n"/>
      <c r="AT3" s="72" t="n"/>
      <c r="AU3" s="72" t="n"/>
      <c r="AV3" s="72" t="n"/>
      <c r="AW3" s="72"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72" t="n"/>
      <c r="BS3" s="72" t="n"/>
      <c r="BT3" s="72" t="n"/>
      <c r="BU3" s="72" t="n"/>
      <c r="BV3" s="72"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72" t="n"/>
      <c r="DB3" s="72" t="n"/>
      <c r="DC3" s="72" t="n"/>
      <c r="DD3" s="72" t="n"/>
      <c r="DE3" s="72"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72" t="n"/>
      <c r="GC3" s="72" t="n"/>
      <c r="GD3" s="72" t="n"/>
      <c r="GE3" s="72" t="n"/>
      <c r="GF3" s="72"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ez_manage.py:4327 top()</t>
        </is>
      </c>
      <c r="IN3" s="26" t="inlineStr">
        <is>
          <t>v12_quick_engine.py:1209 x7</t>
        </is>
      </c>
      <c r="IO3" s="26" t="n"/>
    </row>
    <row r="4" ht="10.5" customHeight="1" s="67">
      <c r="A4" s="26" t="inlineStr">
        <is>
          <t>ATR_ADAPTIVE_SIZING_TARGET_PCT</t>
        </is>
      </c>
      <c r="B4" s="26" t="inlineStr">
        <is>
          <t>2.5</t>
        </is>
      </c>
      <c r="C4" s="26" t="n"/>
      <c r="D4" s="26" t="n"/>
      <c r="E4" s="26" t="n"/>
      <c r="F4" s="26" t="n"/>
      <c r="G4" s="26">
        <f>IFERROR(VLOOKUP($A27&amp;"_"&amp;$B27,Results_Deltas!$A$2:$P$15000,5,FALSE),"")</f>
        <v/>
      </c>
      <c r="H4" s="26">
        <f>IFERROR(VLOOKUP($A27,Results_30d_Deltas!$A$2:$H$5000,7,FALSE)-E26,"")</f>
        <v/>
      </c>
      <c r="I4" s="26">
        <f>IFERROR(VLOOKUP($A27,Results_30d_Deltas!$A$2:$H$5000,6,FALSE),"")</f>
        <v/>
      </c>
      <c r="J4" s="26" t="n"/>
      <c r="K4" s="26" t="n"/>
      <c r="L4" s="26" t="inlineStr">
        <is>
          <t>NO</t>
        </is>
      </c>
      <c r="M4" s="74" t="n">
        <v>25</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72" t="n"/>
      <c r="AT4" s="72" t="n"/>
      <c r="AU4" s="72" t="n"/>
      <c r="AV4" s="72" t="n"/>
      <c r="AW4" s="72"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72" t="n"/>
      <c r="BS4" s="72" t="n"/>
      <c r="BT4" s="72" t="n"/>
      <c r="BU4" s="72" t="n"/>
      <c r="BV4" s="72"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72" t="n"/>
      <c r="DB4" s="72" t="n"/>
      <c r="DC4" s="72" t="n"/>
      <c r="DD4" s="72" t="n"/>
      <c r="DE4" s="72"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72" t="n"/>
      <c r="GC4" s="72" t="n"/>
      <c r="GD4" s="72" t="n"/>
      <c r="GE4" s="72" t="n"/>
      <c r="GF4" s="72"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ez_manage.py:4327 top()</t>
        </is>
      </c>
      <c r="IN4" s="26" t="inlineStr">
        <is>
          <t>v12_quick_engine.py:1209 x7</t>
        </is>
      </c>
      <c r="IO4" s="26" t="n"/>
    </row>
    <row r="5" ht="10.5" customHeight="1" s="67">
      <c r="A5" s="26" t="inlineStr">
        <is>
          <t>REVERSE_ON_EXIT_ENABLED</t>
        </is>
      </c>
      <c r="B5" s="26" t="inlineStr">
        <is>
          <t>True</t>
        </is>
      </c>
      <c r="C5" s="26" t="n"/>
      <c r="D5" s="26" t="n"/>
      <c r="E5" s="26" t="n"/>
      <c r="F5" s="26" t="n"/>
      <c r="G5" s="26">
        <f>IFERROR(VLOOKUP($A116&amp;"_"&amp;$B116,Results_Deltas!$A$2:$P$15000,5,FALSE),"")</f>
        <v/>
      </c>
      <c r="H5" s="26">
        <f>IFERROR(VLOOKUP($A116,Results_30d_Deltas!$A$2:$H$5000,7,FALSE)-E115,"")</f>
        <v/>
      </c>
      <c r="I5" s="26">
        <f>IFERROR(VLOOKUP($A116,Results_30d_Deltas!$A$2:$H$5000,6,FALSE),"")</f>
        <v/>
      </c>
      <c r="J5" s="26" t="n"/>
      <c r="K5" s="26" t="n"/>
      <c r="L5" s="26" t="inlineStr">
        <is>
          <t>NO</t>
        </is>
      </c>
      <c r="M5" s="74" t="n">
        <v>22</v>
      </c>
      <c r="N5" s="71" t="n">
        <v>0</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72" t="n"/>
      <c r="AT5" s="72" t="n"/>
      <c r="AU5" s="72" t="n"/>
      <c r="AV5" s="72" t="n"/>
      <c r="AW5" s="72"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72" t="n"/>
      <c r="BS5" s="72" t="n"/>
      <c r="BT5" s="72" t="n"/>
      <c r="BU5" s="72" t="n"/>
      <c r="BV5" s="72"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6" t="inlineStr">
        <is>
          <t>EXIT_R1_R2_FILTER_TF=OFF</t>
        </is>
      </c>
      <c r="CW5" s="36" t="inlineStr">
        <is>
          <t>EXIT_R1_R2_FILTER_TF=D</t>
        </is>
      </c>
      <c r="CX5" s="36" t="inlineStr">
        <is>
          <t>EXIT_R1_R2_FILTER_TF=4h</t>
        </is>
      </c>
      <c r="CY5" s="36" t="inlineStr">
        <is>
          <t>EXIT_R1_R2_FILTER_TF=1h</t>
        </is>
      </c>
      <c r="CZ5" s="36" t="inlineStr">
        <is>
          <t>EXIT_R1_R2_FILTER_TF=15m</t>
        </is>
      </c>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6" t="inlineStr">
        <is>
          <t>EXIT_TOP_FADE_FILTER_TF=OFF</t>
        </is>
      </c>
      <c r="DG5" s="36" t="inlineStr">
        <is>
          <t>EXIT_TOP_FADE_FILTER_TF=D</t>
        </is>
      </c>
      <c r="DH5" s="36" t="inlineStr">
        <is>
          <t>EXIT_TOP_FADE_FILTER_TF=4h</t>
        </is>
      </c>
      <c r="DI5" s="36" t="inlineStr">
        <is>
          <t>EXIT_TOP_FADE_FILTER_TF=1h</t>
        </is>
      </c>
      <c r="DJ5" s="36" t="inlineStr">
        <is>
          <t>EXIT_TOP_FADE_FILTER_TF=15m</t>
        </is>
      </c>
      <c r="DK5" s="36" t="inlineStr">
        <is>
          <t>EXIT_TO_REDUCE_ADAPTER_FILTER_TF=OFF</t>
        </is>
      </c>
      <c r="DL5" s="36" t="inlineStr">
        <is>
          <t>EXIT_TO_REDUCE_ADAPTER_FILTER_TF=D</t>
        </is>
      </c>
      <c r="DM5" s="36" t="inlineStr">
        <is>
          <t>EXIT_TO_REDUCE_ADAPTER_FILTER_TF=4h</t>
        </is>
      </c>
      <c r="DN5" s="36" t="inlineStr">
        <is>
          <t>EXIT_TO_REDUCE_ADAPTER_FILTER_TF=1h</t>
        </is>
      </c>
      <c r="DO5" s="36" t="inlineStr">
        <is>
          <t>EXIT_TO_REDUCE_ADAPTER_FILTER_TF=15m</t>
        </is>
      </c>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72" t="n"/>
      <c r="GC5" s="72" t="n"/>
      <c r="GD5" s="72" t="n"/>
      <c r="GE5" s="72" t="n"/>
      <c r="GF5" s="72"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6" t="inlineStr">
        <is>
          <t>WT_15M_BOUNCE_BB_MAX=0.95</t>
        </is>
      </c>
      <c r="IA5" s="36" t="inlineStr">
        <is>
          <t>WT_15M_BOUNCE_BB_MAX=0.9</t>
        </is>
      </c>
      <c r="IB5" s="36" t="inlineStr">
        <is>
          <t>WT_15M_BOUNCE_BB_MAX=0.8</t>
        </is>
      </c>
      <c r="IC5" s="36" t="inlineStr">
        <is>
          <t>WT_15M_BOUNCE_BB_MIN=0.05</t>
        </is>
      </c>
      <c r="ID5" s="36" t="inlineStr">
        <is>
          <t>WT_15M_BOUNCE_BB_MIN=0.1</t>
        </is>
      </c>
      <c r="IE5" s="36" t="inlineStr">
        <is>
          <t>WT_15M_BOUNCE_BB_MIN=0.2</t>
        </is>
      </c>
      <c r="IF5" s="36" t="inlineStr">
        <is>
          <t>WT_15M_BOUNCE_HIGH_1H_GT_PREV=True</t>
        </is>
      </c>
      <c r="IG5" s="36" t="inlineStr">
        <is>
          <t>WT_15M_BOUNCE_HIGH_1H_GT_PREV=False</t>
        </is>
      </c>
      <c r="IH5" s="36" t="inlineStr">
        <is>
          <t>WT_15M_BOUNCE_LOW_1H_GT_PREV=True</t>
        </is>
      </c>
      <c r="II5" s="36" t="inlineStr">
        <is>
          <t>WT_15M_BOUNCE_LOW_1H_GT_PREV=False</t>
        </is>
      </c>
      <c r="IJ5" s="36" t="inlineStr">
        <is>
          <t>WT_15M_BOUNCE_REL_VOL_GT_1=True</t>
        </is>
      </c>
      <c r="IK5" s="36" t="inlineStr">
        <is>
          <t>WT_15M_BOUNCE_REL_VOL_GT_1=False</t>
        </is>
      </c>
      <c r="IL5" s="26" t="n"/>
      <c r="IM5" s="26" t="inlineStr">
        <is>
          <t>ez_manage.py:1219 top()</t>
        </is>
      </c>
      <c r="IN5" s="26" t="inlineStr">
        <is>
          <t>v12_quick_engine.py:1420 x3</t>
        </is>
      </c>
      <c r="IO5" s="26" t="n"/>
    </row>
    <row r="6" ht="10.5" customHeight="1" s="67">
      <c r="A6" s="26" t="inlineStr">
        <is>
          <t>DC_BREAKOUT_TF</t>
        </is>
      </c>
      <c r="B6" s="26" t="inlineStr">
        <is>
          <t>OFF</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NO</t>
        </is>
      </c>
      <c r="M6" s="74" t="n">
        <v>26</v>
      </c>
      <c r="N6" s="71" t="n">
        <v>0</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ez_manage.py:3078 top()</t>
        </is>
      </c>
      <c r="IN6" s="26" t="inlineStr">
        <is>
          <t>v12_quick_engine.py:1518 x5</t>
        </is>
      </c>
      <c r="IO6" s="26" t="n"/>
    </row>
    <row r="7" ht="10.5" customHeight="1" s="67">
      <c r="A7" s="26" t="inlineStr">
        <is>
          <t>DC_BREAKOUT_TF</t>
        </is>
      </c>
      <c r="B7" s="26" t="inlineStr">
        <is>
          <t>D</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4" t="n">
        <v>26</v>
      </c>
      <c r="N7" s="71" t="n">
        <v>0</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6" t="inlineStr">
        <is>
          <t>BREAKOUT_RETEST_FILTER_TF=OFF</t>
        </is>
      </c>
      <c r="AT7" s="36" t="inlineStr">
        <is>
          <t>BREAKOUT_RETEST_FILTER_TF=D</t>
        </is>
      </c>
      <c r="AU7" s="36" t="inlineStr">
        <is>
          <t>BREAKOUT_RETEST_FILTER_TF=4h</t>
        </is>
      </c>
      <c r="AV7" s="36" t="inlineStr">
        <is>
          <t>BREAKOUT_RETEST_FILTER_TF=1h</t>
        </is>
      </c>
      <c r="AW7" s="36"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6" t="inlineStr">
        <is>
          <t>DC_BREAK_FILTER_TF=OFF</t>
        </is>
      </c>
      <c r="BS7" s="36" t="inlineStr">
        <is>
          <t>DC_BREAK_FILTER_TF=D</t>
        </is>
      </c>
      <c r="BT7" s="36" t="inlineStr">
        <is>
          <t>DC_BREAK_FILTER_TF=4h</t>
        </is>
      </c>
      <c r="BU7" s="36" t="inlineStr">
        <is>
          <t>DC_BREAK_FILTER_TF=1h</t>
        </is>
      </c>
      <c r="BV7" s="36"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6" t="inlineStr">
        <is>
          <t>EXIT_TIGHT_BREAKOUT_SCORER_FILTER_TF=OFF</t>
        </is>
      </c>
      <c r="DB7" s="36" t="inlineStr">
        <is>
          <t>EXIT_TIGHT_BREAKOUT_SCORER_FILTER_TF=D</t>
        </is>
      </c>
      <c r="DC7" s="36" t="inlineStr">
        <is>
          <t>EXIT_TIGHT_BREAKOUT_SCORER_FILTER_TF=4h</t>
        </is>
      </c>
      <c r="DD7" s="36" t="inlineStr">
        <is>
          <t>EXIT_TIGHT_BREAKOUT_SCORER_FILTER_TF=1h</t>
        </is>
      </c>
      <c r="DE7" s="36"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6" t="inlineStr">
        <is>
          <t>MOMENTUM_BREAKOUT_FILTER_TF=OFF</t>
        </is>
      </c>
      <c r="GC7" s="36" t="inlineStr">
        <is>
          <t>MOMENTUM_BREAKOUT_FILTER_TF=D</t>
        </is>
      </c>
      <c r="GD7" s="36" t="inlineStr">
        <is>
          <t>MOMENTUM_BREAKOUT_FILTER_TF=4h</t>
        </is>
      </c>
      <c r="GE7" s="36" t="inlineStr">
        <is>
          <t>MOMENTUM_BREAKOUT_FILTER_TF=1h</t>
        </is>
      </c>
      <c r="GF7" s="36"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ez_manage.py:3078 top()</t>
        </is>
      </c>
      <c r="IN7" s="26" t="inlineStr">
        <is>
          <t>v12_quick_engine.py:1518 x5</t>
        </is>
      </c>
      <c r="IO7" s="26" t="n"/>
    </row>
    <row r="8" ht="10.5" customHeight="1" s="67">
      <c r="A8" s="26" t="inlineStr">
        <is>
          <t>DC_BREAKOUT_TF</t>
        </is>
      </c>
      <c r="B8" s="26" t="inlineStr">
        <is>
          <t>4h</t>
        </is>
      </c>
      <c r="C8" s="26" t="n"/>
      <c r="D8" s="26" t="n"/>
      <c r="E8" s="26" t="n"/>
      <c r="F8" s="26" t="n"/>
      <c r="G8" s="26">
        <f>IFERROR(VLOOKUP($A5&amp;"_"&amp;$B5,Results_Deltas!$A$2:$P$15000,5,FALSE),"")</f>
        <v/>
      </c>
      <c r="H8" s="26">
        <f>IFERROR(VLOOKUP($A5,Results_30d_Deltas!$A$2:$H$5000,7,FALSE)-E4,"")</f>
        <v/>
      </c>
      <c r="I8" s="26">
        <f>IFERROR(VLOOKUP($A5,Results_30d_Deltas!$A$2:$H$5000,6,FALSE),"")</f>
        <v/>
      </c>
      <c r="J8" s="26" t="n"/>
      <c r="K8" s="26" t="n"/>
      <c r="L8" s="26" t="inlineStr">
        <is>
          <t>NO</t>
        </is>
      </c>
      <c r="M8" s="74" t="n">
        <v>26</v>
      </c>
      <c r="N8" s="71" t="n">
        <v>0</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6" t="inlineStr">
        <is>
          <t>BREAKOUT_RETEST_FILTER_TF=OFF</t>
        </is>
      </c>
      <c r="AT8" s="36" t="inlineStr">
        <is>
          <t>BREAKOUT_RETEST_FILTER_TF=D</t>
        </is>
      </c>
      <c r="AU8" s="36" t="inlineStr">
        <is>
          <t>BREAKOUT_RETEST_FILTER_TF=4h</t>
        </is>
      </c>
      <c r="AV8" s="36" t="inlineStr">
        <is>
          <t>BREAKOUT_RETEST_FILTER_TF=1h</t>
        </is>
      </c>
      <c r="AW8" s="36" t="inlineStr">
        <is>
          <t>BREAKOUT_RETEST_FILTER_TF=15m</t>
        </is>
      </c>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6" t="inlineStr">
        <is>
          <t>DC_BREAK_FILTER_TF=OFF</t>
        </is>
      </c>
      <c r="BS8" s="36" t="inlineStr">
        <is>
          <t>DC_BREAK_FILTER_TF=D</t>
        </is>
      </c>
      <c r="BT8" s="36" t="inlineStr">
        <is>
          <t>DC_BREAK_FILTER_TF=4h</t>
        </is>
      </c>
      <c r="BU8" s="36" t="inlineStr">
        <is>
          <t>DC_BREAK_FILTER_TF=1h</t>
        </is>
      </c>
      <c r="BV8" s="36" t="inlineStr">
        <is>
          <t>DC_BREAK_FILTER_TF=15m</t>
        </is>
      </c>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6" t="inlineStr">
        <is>
          <t>EXIT_TIGHT_BREAKOUT_SCORER_FILTER_TF=OFF</t>
        </is>
      </c>
      <c r="DB8" s="36" t="inlineStr">
        <is>
          <t>EXIT_TIGHT_BREAKOUT_SCORER_FILTER_TF=D</t>
        </is>
      </c>
      <c r="DC8" s="36" t="inlineStr">
        <is>
          <t>EXIT_TIGHT_BREAKOUT_SCORER_FILTER_TF=4h</t>
        </is>
      </c>
      <c r="DD8" s="36" t="inlineStr">
        <is>
          <t>EXIT_TIGHT_BREAKOUT_SCORER_FILTER_TF=1h</t>
        </is>
      </c>
      <c r="DE8" s="36" t="inlineStr">
        <is>
          <t>EXIT_TIGHT_BREAKOUT_SCORER_FILTER_TF=15m</t>
        </is>
      </c>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6" t="inlineStr">
        <is>
          <t>MOMENTUM_BREAKOUT_FILTER_TF=OFF</t>
        </is>
      </c>
      <c r="GC8" s="36" t="inlineStr">
        <is>
          <t>MOMENTUM_BREAKOUT_FILTER_TF=D</t>
        </is>
      </c>
      <c r="GD8" s="36" t="inlineStr">
        <is>
          <t>MOMENTUM_BREAKOUT_FILTER_TF=4h</t>
        </is>
      </c>
      <c r="GE8" s="36" t="inlineStr">
        <is>
          <t>MOMENTUM_BREAKOUT_FILTER_TF=1h</t>
        </is>
      </c>
      <c r="GF8" s="36" t="inlineStr">
        <is>
          <t>MOMENTUM_BREAKOUT_FILTER_TF=15m</t>
        </is>
      </c>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ez_manage.py:3078 top()</t>
        </is>
      </c>
      <c r="IN8" s="26" t="inlineStr">
        <is>
          <t>v12_quick_engine.py:1518 x5</t>
        </is>
      </c>
      <c r="IO8" s="26" t="n"/>
    </row>
    <row r="9" ht="10.5" customHeight="1" s="67">
      <c r="A9" s="26" t="inlineStr">
        <is>
          <t>DC_BREAKOUT_TF</t>
        </is>
      </c>
      <c r="B9" s="26" t="inlineStr">
        <is>
          <t>15m</t>
        </is>
      </c>
      <c r="C9" s="26" t="n"/>
      <c r="D9" s="26" t="n"/>
      <c r="E9" s="26" t="n"/>
      <c r="F9" s="26" t="n"/>
      <c r="G9" s="26">
        <f>IFERROR(VLOOKUP($A7&amp;"_"&amp;$B7,Results_Deltas!$A$2:$P$15000,5,FALSE),"")</f>
        <v/>
      </c>
      <c r="H9" s="26">
        <f>IFERROR(VLOOKUP($A7,Results_30d_Deltas!$A$2:$H$5000,7,FALSE)-E6,"")</f>
        <v/>
      </c>
      <c r="I9" s="26">
        <f>IFERROR(VLOOKUP($A7,Results_30d_Deltas!$A$2:$H$5000,6,FALSE),"")</f>
        <v/>
      </c>
      <c r="J9" s="26" t="n"/>
      <c r="K9" s="26" t="n"/>
      <c r="L9" s="26" t="inlineStr">
        <is>
          <t>NO</t>
        </is>
      </c>
      <c r="M9" s="74" t="n">
        <v>10</v>
      </c>
      <c r="N9" s="71" t="n">
        <v>0</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6" t="inlineStr">
        <is>
          <t>BREAKOUT_RETEST_FILTER_TF=OFF</t>
        </is>
      </c>
      <c r="AT9" s="36" t="inlineStr">
        <is>
          <t>BREAKOUT_RETEST_FILTER_TF=D</t>
        </is>
      </c>
      <c r="AU9" s="36" t="inlineStr">
        <is>
          <t>BREAKOUT_RETEST_FILTER_TF=4h</t>
        </is>
      </c>
      <c r="AV9" s="36" t="inlineStr">
        <is>
          <t>BREAKOUT_RETEST_FILTER_TF=1h</t>
        </is>
      </c>
      <c r="AW9" s="36" t="inlineStr">
        <is>
          <t>BREAKOUT_RETEST_FILTER_TF=15m</t>
        </is>
      </c>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6" t="inlineStr">
        <is>
          <t>DC_BREAK_FILTER_TF=OFF</t>
        </is>
      </c>
      <c r="BS9" s="36" t="inlineStr">
        <is>
          <t>DC_BREAK_FILTER_TF=D</t>
        </is>
      </c>
      <c r="BT9" s="36" t="inlineStr">
        <is>
          <t>DC_BREAK_FILTER_TF=4h</t>
        </is>
      </c>
      <c r="BU9" s="36" t="inlineStr">
        <is>
          <t>DC_BREAK_FILTER_TF=1h</t>
        </is>
      </c>
      <c r="BV9" s="36" t="inlineStr">
        <is>
          <t>DC_BREAK_FILTER_TF=15m</t>
        </is>
      </c>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72" t="n"/>
      <c r="CW9" s="72" t="n"/>
      <c r="CX9" s="72" t="n"/>
      <c r="CY9" s="72" t="n"/>
      <c r="CZ9" s="72" t="n"/>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72" t="n"/>
      <c r="DG9" s="72" t="n"/>
      <c r="DH9" s="72" t="n"/>
      <c r="DI9" s="72" t="n"/>
      <c r="DJ9" s="72" t="n"/>
      <c r="DK9" s="72" t="n"/>
      <c r="DL9" s="72" t="n"/>
      <c r="DM9" s="72" t="n"/>
      <c r="DN9" s="72" t="n"/>
      <c r="DO9" s="72"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6" t="inlineStr">
        <is>
          <t>MOMENTUM_BREAKOUT_FILTER_TF=OFF</t>
        </is>
      </c>
      <c r="GC9" s="36" t="inlineStr">
        <is>
          <t>MOMENTUM_BREAKOUT_FILTER_TF=D</t>
        </is>
      </c>
      <c r="GD9" s="36" t="inlineStr">
        <is>
          <t>MOMENTUM_BREAKOUT_FILTER_TF=4h</t>
        </is>
      </c>
      <c r="GE9" s="36" t="inlineStr">
        <is>
          <t>MOMENTUM_BREAKOUT_FILTER_TF=1h</t>
        </is>
      </c>
      <c r="GF9" s="36"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72" t="n"/>
      <c r="IA9" s="72" t="n"/>
      <c r="IB9" s="72" t="n"/>
      <c r="IC9" s="72" t="n"/>
      <c r="ID9" s="72" t="n"/>
      <c r="IE9" s="72" t="n"/>
      <c r="IF9" s="72" t="n"/>
      <c r="IG9" s="72" t="n"/>
      <c r="IH9" s="72" t="n"/>
      <c r="II9" s="72" t="n"/>
      <c r="IJ9" s="72" t="n"/>
      <c r="IK9" s="72" t="n"/>
      <c r="IL9" s="26" t="n"/>
      <c r="IM9" s="26" t="inlineStr">
        <is>
          <t>ez_manage.py:3078 top()</t>
        </is>
      </c>
      <c r="IN9" s="26" t="inlineStr">
        <is>
          <t>v12_quick_engine.py:1518 x5</t>
        </is>
      </c>
      <c r="IO9" s="26" t="n"/>
    </row>
    <row r="10" ht="10.5" customHeight="1" s="67">
      <c r="A10" s="27" t="inlineStr">
        <is>
          <t>REVERSE_ON_EXIT_ENABLED</t>
        </is>
      </c>
      <c r="B10" s="27" t="inlineStr">
        <is>
          <t>False</t>
        </is>
      </c>
      <c r="C10" s="26" t="n"/>
      <c r="D10" s="26" t="n"/>
      <c r="E10" s="26" t="n"/>
      <c r="F10" s="26" t="n"/>
      <c r="G10" s="26">
        <f>IFERROR(VLOOKUP($A115&amp;"_"&amp;$B115,Results_Deltas!$A$2:$P$15000,5,FALSE),"")</f>
        <v/>
      </c>
      <c r="H10" s="26">
        <f>IFERROR(VLOOKUP($A115,Results_30d_Deltas!$A$2:$H$5000,7,FALSE)-E114,"")</f>
        <v/>
      </c>
      <c r="I10" s="26">
        <f>IFERROR(VLOOKUP($A115,Results_30d_Deltas!$A$2:$H$5000,6,FALSE),"")</f>
        <v/>
      </c>
      <c r="J10" s="26" t="n"/>
      <c r="K10" s="26" t="n"/>
      <c r="L10" s="26" t="inlineStr">
        <is>
          <t>YES</t>
        </is>
      </c>
      <c r="M10" s="74" t="n">
        <v>13</v>
      </c>
      <c r="N10" s="71" t="n">
        <v>0</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4" t="inlineStr">
        <is>
          <t>EXIT_R1_R2_FILTER_TF=OFF</t>
        </is>
      </c>
      <c r="CW10" s="34" t="inlineStr">
        <is>
          <t>EXIT_R1_R2_FILTER_TF=D</t>
        </is>
      </c>
      <c r="CX10" s="34" t="inlineStr">
        <is>
          <t>EXIT_R1_R2_FILTER_TF=4h</t>
        </is>
      </c>
      <c r="CY10" s="34" t="inlineStr">
        <is>
          <t>EXIT_R1_R2_FILTER_TF=1h</t>
        </is>
      </c>
      <c r="CZ10" s="34" t="inlineStr">
        <is>
          <t>EXIT_R1_R2_FILTER_TF=15m</t>
        </is>
      </c>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4" t="inlineStr">
        <is>
          <t>EXIT_TOP_FADE_FILTER_TF=OFF</t>
        </is>
      </c>
      <c r="DG10" s="34" t="inlineStr">
        <is>
          <t>EXIT_TOP_FADE_FILTER_TF=D</t>
        </is>
      </c>
      <c r="DH10" s="34" t="inlineStr">
        <is>
          <t>EXIT_TOP_FADE_FILTER_TF=4h</t>
        </is>
      </c>
      <c r="DI10" s="34" t="inlineStr">
        <is>
          <t>EXIT_TOP_FADE_FILTER_TF=1h</t>
        </is>
      </c>
      <c r="DJ10" s="34" t="inlineStr">
        <is>
          <t>EXIT_TOP_FADE_FILTER_TF=15m</t>
        </is>
      </c>
      <c r="DK10" s="34" t="inlineStr">
        <is>
          <t>EXIT_TO_REDUCE_ADAPTER_FILTER_TF=OFF</t>
        </is>
      </c>
      <c r="DL10" s="34" t="inlineStr">
        <is>
          <t>EXIT_TO_REDUCE_ADAPTER_FILTER_TF=D</t>
        </is>
      </c>
      <c r="DM10" s="34" t="inlineStr">
        <is>
          <t>EXIT_TO_REDUCE_ADAPTER_FILTER_TF=4h</t>
        </is>
      </c>
      <c r="DN10" s="34" t="inlineStr">
        <is>
          <t>EXIT_TO_REDUCE_ADAPTER_FILTER_TF=1h</t>
        </is>
      </c>
      <c r="DO10" s="34" t="inlineStr">
        <is>
          <t>EXIT_TO_REDUCE_ADAPTER_FILTER_TF=15m</t>
        </is>
      </c>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4" t="inlineStr">
        <is>
          <t>WT_15M_BOUNCE_BB_MAX=0.95</t>
        </is>
      </c>
      <c r="IA10" s="34" t="inlineStr">
        <is>
          <t>WT_15M_BOUNCE_BB_MAX=0.9</t>
        </is>
      </c>
      <c r="IB10" s="34" t="inlineStr">
        <is>
          <t>WT_15M_BOUNCE_BB_MAX=0.8</t>
        </is>
      </c>
      <c r="IC10" s="34" t="inlineStr">
        <is>
          <t>WT_15M_BOUNCE_BB_MIN=0.05</t>
        </is>
      </c>
      <c r="ID10" s="34" t="inlineStr">
        <is>
          <t>WT_15M_BOUNCE_BB_MIN=0.1</t>
        </is>
      </c>
      <c r="IE10" s="34" t="inlineStr">
        <is>
          <t>WT_15M_BOUNCE_BB_MIN=0.2</t>
        </is>
      </c>
      <c r="IF10" s="34" t="inlineStr">
        <is>
          <t>WT_15M_BOUNCE_HIGH_1H_GT_PREV=True</t>
        </is>
      </c>
      <c r="IG10" s="34" t="inlineStr">
        <is>
          <t>WT_15M_BOUNCE_HIGH_1H_GT_PREV=False</t>
        </is>
      </c>
      <c r="IH10" s="34" t="inlineStr">
        <is>
          <t>WT_15M_BOUNCE_LOW_1H_GT_PREV=True</t>
        </is>
      </c>
      <c r="II10" s="34" t="inlineStr">
        <is>
          <t>WT_15M_BOUNCE_LOW_1H_GT_PREV=False</t>
        </is>
      </c>
      <c r="IJ10" s="34" t="inlineStr">
        <is>
          <t>WT_15M_BOUNCE_REL_VOL_GT_1=True</t>
        </is>
      </c>
      <c r="IK10" s="34" t="inlineStr">
        <is>
          <t>WT_15M_BOUNCE_REL_VOL_GT_1=False</t>
        </is>
      </c>
      <c r="IL10" s="26" t="n"/>
      <c r="IM10" s="26" t="inlineStr">
        <is>
          <t>ez_manage.py:1219 top()</t>
        </is>
      </c>
      <c r="IN10" s="26" t="inlineStr">
        <is>
          <t>v12_quick_engine.py:1420 x3</t>
        </is>
      </c>
      <c r="IO10" s="26" t="n"/>
    </row>
    <row r="11" ht="10.5" customHeight="1" s="67">
      <c r="A11" s="37" t="inlineStr">
        <is>
          <t>HTF_TREND_VETO_BYPASS_ENABLED</t>
        </is>
      </c>
      <c r="B11" s="38" t="inlineStr">
        <is>
          <t>False</t>
        </is>
      </c>
      <c r="C11" s="38" t="n"/>
      <c r="D11" s="38" t="inlineStr">
        <is>
          <t>GLOBAL_CHECK, STOCKS_EXIT</t>
        </is>
      </c>
      <c r="E11" s="38" t="n"/>
      <c r="F11" s="26" t="n"/>
      <c r="G11" s="38">
        <f>IFERROR(VLOOKUP($A317&amp;"_"&amp;$B317,Results_Deltas!$A$2:$P$15000,5,FALSE),"")</f>
        <v/>
      </c>
      <c r="H11" s="38" t="inlineStr">
        <is>
          <t>Blanket (page end)</t>
        </is>
      </c>
      <c r="I11" s="26" t="n"/>
      <c r="J11" s="26" t="n"/>
      <c r="K11" s="26" t="n"/>
      <c r="L11" s="26" t="inlineStr">
        <is>
          <t>YES</t>
        </is>
      </c>
      <c r="M11" s="0"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GR_FILTER_VEC_ENABLED</t>
        </is>
      </c>
      <c r="B3" s="26" t="inlineStr">
        <is>
          <t>True</t>
        </is>
      </c>
      <c r="C3" s="26" t="n"/>
      <c r="D3" s="26" t="n"/>
      <c r="E3" s="26" t="n"/>
      <c r="F3" s="26" t="n"/>
      <c r="G3" s="26">
        <f>IFERROR(VLOOKUP($A6&amp;"_"&amp;$B6,Results_Deltas!$A$2:$P$15000,5,FALSE),"")</f>
        <v/>
      </c>
      <c r="H3" s="26">
        <f>IFERROR(VLOOKUP($A6,Results_30d_Deltas!$A$2:$H$5000,7,FALSE)-E5,"")</f>
        <v/>
      </c>
      <c r="I3" s="26">
        <f>IFERROR(VLOOKUP($A6,Results_30d_Deltas!$A$2:$H$5000,6,FALSE),"")</f>
        <v/>
      </c>
      <c r="J3" s="26" t="n"/>
      <c r="K3" s="26" t="n"/>
      <c r="L3" s="26" t="inlineStr">
        <is>
          <t>NO</t>
        </is>
      </c>
      <c r="M3" s="74" t="n">
        <v>3</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4" t="inlineStr">
        <is>
          <t>EMA_9_21_FILTER_FILTER_TF=OFF</t>
        </is>
      </c>
      <c r="CH3" s="34" t="inlineStr">
        <is>
          <t>EMA_9_21_FILTER_FILTER_TF=D</t>
        </is>
      </c>
      <c r="CI3" s="34" t="inlineStr">
        <is>
          <t>EMA_9_21_FILTER_FILTER_TF=4h</t>
        </is>
      </c>
      <c r="CJ3" s="34" t="inlineStr">
        <is>
          <t>EMA_9_21_FILTER_FILTER_TF=1h</t>
        </is>
      </c>
      <c r="CK3" s="34" t="inlineStr">
        <is>
          <t>EMA_9_21_FILTER_FILTER_TF=15m</t>
        </is>
      </c>
      <c r="CL3" s="34" t="inlineStr">
        <is>
          <t>EMA_BLANKET_FILTER_FILTER_TF=OFF</t>
        </is>
      </c>
      <c r="CM3" s="34" t="inlineStr">
        <is>
          <t>EMA_BLANKET_FILTER_FILTER_TF=D</t>
        </is>
      </c>
      <c r="CN3" s="34" t="inlineStr">
        <is>
          <t>EMA_BLANKET_FILTER_FILTER_TF=4h</t>
        </is>
      </c>
      <c r="CO3" s="34" t="inlineStr">
        <is>
          <t>EMA_BLANKET_FILTER_FILTER_TF=1h</t>
        </is>
      </c>
      <c r="CP3" s="34" t="inlineStr">
        <is>
          <t>EMA_BLANKET_FILTER_FILTER_TF=15m</t>
        </is>
      </c>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4" t="inlineStr">
        <is>
          <t>GR_FILTER_VEC_FILTER_TF=OFF</t>
        </is>
      </c>
      <c r="EU3" s="34" t="inlineStr">
        <is>
          <t>GR_FILTER_VEC_FILTER_TF=D</t>
        </is>
      </c>
      <c r="EV3" s="34" t="inlineStr">
        <is>
          <t>GR_FILTER_VEC_FILTER_TF=4h</t>
        </is>
      </c>
      <c r="EW3" s="34" t="inlineStr">
        <is>
          <t>GR_FILTER_VEC_FILTER_TF=1h</t>
        </is>
      </c>
      <c r="EX3" s="34" t="inlineStr">
        <is>
          <t>GR_FILTER_VEC_FILTER_TF=15m</t>
        </is>
      </c>
      <c r="EY3" s="33" t="n"/>
      <c r="EZ3" s="33" t="n"/>
      <c r="FA3" s="33" t="n"/>
      <c r="FB3" s="33" t="n"/>
      <c r="FC3" s="33" t="n"/>
      <c r="FD3" s="33" t="n"/>
      <c r="FE3" s="33" t="n"/>
      <c r="FF3" s="33" t="n"/>
      <c r="FG3" s="33" t="n"/>
      <c r="FH3" s="33" t="n"/>
      <c r="FI3" s="34" t="inlineStr">
        <is>
          <t>LH_HL_FILTER_TF_REQ=2</t>
        </is>
      </c>
      <c r="FJ3" s="34" t="inlineStr">
        <is>
          <t>LH_HL_FILTER_TF_REQ=2_ALT</t>
        </is>
      </c>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ez_manage.py:6003 top()</t>
        </is>
      </c>
      <c r="IN3" s="26" t="inlineStr">
        <is>
          <t>v12_quick_engine.py:4261 x2</t>
        </is>
      </c>
      <c r="IO3" s="26" t="n"/>
    </row>
    <row r="4" ht="10.5" customHeight="1" s="67">
      <c r="A4" s="27" t="inlineStr">
        <is>
          <t>GR_FILTER_VEC_ENABLED</t>
        </is>
      </c>
      <c r="B4" s="27" t="inlineStr">
        <is>
          <t>False</t>
        </is>
      </c>
      <c r="C4" s="26" t="n"/>
      <c r="D4" s="26" t="n"/>
      <c r="E4" s="26" t="n"/>
      <c r="F4" s="26" t="n"/>
      <c r="G4" s="26">
        <f>IFERROR(VLOOKUP($A5&amp;"_"&amp;$B5,Results_Deltas!$A$2:$P$15000,5,FALSE),"")</f>
        <v/>
      </c>
      <c r="H4" s="26">
        <f>IFERROR(VLOOKUP($A5,Results_30d_Deltas!$A$2:$H$5000,7,FALSE)-E4,"")</f>
        <v/>
      </c>
      <c r="I4" s="26">
        <f>IFERROR(VLOOKUP($A5,Results_30d_Deltas!$A$2:$H$5000,6,FALSE),"")</f>
        <v/>
      </c>
      <c r="J4" s="26" t="n"/>
      <c r="K4" s="26" t="n"/>
      <c r="L4" s="26" t="inlineStr">
        <is>
          <t>YES</t>
        </is>
      </c>
      <c r="M4" s="74" t="n">
        <v>3</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4" t="inlineStr">
        <is>
          <t>EMA_9_21_FILTER_FILTER_TF=OFF</t>
        </is>
      </c>
      <c r="CH4" s="34" t="inlineStr">
        <is>
          <t>EMA_9_21_FILTER_FILTER_TF=D</t>
        </is>
      </c>
      <c r="CI4" s="34" t="inlineStr">
        <is>
          <t>EMA_9_21_FILTER_FILTER_TF=4h</t>
        </is>
      </c>
      <c r="CJ4" s="34" t="inlineStr">
        <is>
          <t>EMA_9_21_FILTER_FILTER_TF=1h</t>
        </is>
      </c>
      <c r="CK4" s="34" t="inlineStr">
        <is>
          <t>EMA_9_21_FILTER_FILTER_TF=15m</t>
        </is>
      </c>
      <c r="CL4" s="34" t="inlineStr">
        <is>
          <t>EMA_BLANKET_FILTER_FILTER_TF=OFF</t>
        </is>
      </c>
      <c r="CM4" s="34" t="inlineStr">
        <is>
          <t>EMA_BLANKET_FILTER_FILTER_TF=D</t>
        </is>
      </c>
      <c r="CN4" s="34" t="inlineStr">
        <is>
          <t>EMA_BLANKET_FILTER_FILTER_TF=4h</t>
        </is>
      </c>
      <c r="CO4" s="34" t="inlineStr">
        <is>
          <t>EMA_BLANKET_FILTER_FILTER_TF=1h</t>
        </is>
      </c>
      <c r="CP4" s="34" t="inlineStr">
        <is>
          <t>EMA_BLANKET_FILTER_FILTER_TF=15m</t>
        </is>
      </c>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4" t="inlineStr">
        <is>
          <t>GR_FILTER_VEC_FILTER_TF=OFF</t>
        </is>
      </c>
      <c r="EU4" s="34" t="inlineStr">
        <is>
          <t>GR_FILTER_VEC_FILTER_TF=D</t>
        </is>
      </c>
      <c r="EV4" s="34" t="inlineStr">
        <is>
          <t>GR_FILTER_VEC_FILTER_TF=4h</t>
        </is>
      </c>
      <c r="EW4" s="34" t="inlineStr">
        <is>
          <t>GR_FILTER_VEC_FILTER_TF=1h</t>
        </is>
      </c>
      <c r="EX4" s="34" t="inlineStr">
        <is>
          <t>GR_FILTER_VEC_FILTER_TF=15m</t>
        </is>
      </c>
      <c r="EY4" s="33" t="n"/>
      <c r="EZ4" s="33" t="n"/>
      <c r="FA4" s="33" t="n"/>
      <c r="FB4" s="33" t="n"/>
      <c r="FC4" s="33" t="n"/>
      <c r="FD4" s="33" t="n"/>
      <c r="FE4" s="33" t="n"/>
      <c r="FF4" s="33" t="n"/>
      <c r="FG4" s="33" t="n"/>
      <c r="FH4" s="33" t="n"/>
      <c r="FI4" s="34" t="inlineStr">
        <is>
          <t>LH_HL_FILTER_TF_REQ=2</t>
        </is>
      </c>
      <c r="FJ4" s="34" t="inlineStr">
        <is>
          <t>LH_HL_FILTER_TF_REQ=2_ALT</t>
        </is>
      </c>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ez_manage.py:6003 top()</t>
        </is>
      </c>
      <c r="IN4" s="26" t="inlineStr">
        <is>
          <t>v12_quick_engine.py:4261 x2</t>
        </is>
      </c>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IFERROR(VLOOKUP($A21&amp;"_"&amp;$B21,Results_Deltas!$A$2:$P$15000,5,FALSE),"")</f>
        <v/>
      </c>
      <c r="H5" s="38" t="inlineStr">
        <is>
          <t>Blanket (page end)</t>
        </is>
      </c>
      <c r="I5" s="26" t="n"/>
      <c r="J5" s="26" t="n"/>
      <c r="K5" s="26" t="n"/>
      <c r="L5" s="26" t="inlineStr">
        <is>
          <t>NO</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BAND_ARROW_ENABLED</t>
        </is>
      </c>
      <c r="B6" s="38" t="inlineStr">
        <is>
          <t>True</t>
        </is>
      </c>
      <c r="C6" s="38" t="n"/>
      <c r="D6" s="38" t="inlineStr">
        <is>
          <t>GLOBAL_CHECK, STOCKS_EXIT</t>
        </is>
      </c>
      <c r="E6" s="38" t="n"/>
      <c r="F6" s="26" t="n"/>
      <c r="G6" s="38">
        <f>IFERROR(VLOOKUP($A23&amp;"_"&amp;$B23,Results_Deltas!$A$2:$P$15000,5,FALSE),"")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COOLDOWN_LOCKS_FILTER_TF</t>
        </is>
      </c>
      <c r="B7" s="38" t="inlineStr">
        <is>
          <t>OFF</t>
        </is>
      </c>
      <c r="C7" s="38" t="n"/>
      <c r="D7" s="38" t="inlineStr">
        <is>
          <t>GLOBAL_CHECK</t>
        </is>
      </c>
      <c r="E7" s="38" t="n"/>
      <c r="F7" s="26" t="n"/>
      <c r="G7" s="38">
        <f>IFERROR(VLOOKUP($A30&amp;"_"&amp;$B30,Results_Deltas!$A$2:$P$15000,5,FALSE),"")</f>
        <v/>
      </c>
      <c r="H7" s="38" t="inlineStr">
        <is>
          <t>Blanket (page end)</t>
        </is>
      </c>
      <c r="I7" s="26" t="n"/>
      <c r="J7" s="26" t="n"/>
      <c r="K7" s="26" t="n"/>
      <c r="L7" s="26" t="inlineStr">
        <is>
          <t>NO</t>
        </is>
      </c>
      <c r="M7" s="74"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CRYPTO_SPIKE_FADE_THRESHOLD_PCT</t>
        </is>
      </c>
      <c r="B8" s="40" t="inlineStr">
        <is>
          <t>10</t>
        </is>
      </c>
      <c r="C8" s="38" t="n"/>
      <c r="D8" s="38" t="inlineStr">
        <is>
          <t>GLOBAL_CHECK, STOCKS_EXIT</t>
        </is>
      </c>
      <c r="E8" s="38" t="n"/>
      <c r="F8" s="26" t="n"/>
      <c r="G8" s="38">
        <f>IFERROR(VLOOKUP($A35&amp;"_"&amp;$B35,Results_Deltas!$A$2:$P$15000,5,FALSE),"")</f>
        <v/>
      </c>
      <c r="H8" s="38" t="inlineStr">
        <is>
          <t>Blanket (page end)</t>
        </is>
      </c>
      <c r="I8" s="26" t="n"/>
      <c r="J8" s="26" t="n"/>
      <c r="K8" s="26" t="n"/>
      <c r="L8" s="26" t="inlineStr">
        <is>
          <t>YES</t>
        </is>
      </c>
      <c r="M8" s="74" t="n">
        <v>23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CRYPTO_SPIKE_FADE_THRESHOLD_PCT</t>
        </is>
      </c>
      <c r="B9" s="38" t="inlineStr">
        <is>
          <t>12.5</t>
        </is>
      </c>
      <c r="C9" s="38" t="n"/>
      <c r="D9" s="38" t="inlineStr">
        <is>
          <t>GLOBAL_CHECK, STOCKS_EXIT</t>
        </is>
      </c>
      <c r="E9" s="38" t="n"/>
      <c r="F9" s="26" t="n"/>
      <c r="G9" s="38">
        <f>IFERROR(VLOOKUP($A36&amp;"_"&amp;$B36,Results_Deltas!$A$2:$P$15000,5,FALSE),"")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CRYPTO_SPIKE_FADE_THRESHOLD_PCT</t>
        </is>
      </c>
      <c r="B10" s="38" t="inlineStr">
        <is>
          <t>5</t>
        </is>
      </c>
      <c r="C10" s="38" t="n"/>
      <c r="D10" s="38" t="inlineStr">
        <is>
          <t>GLOBAL_CHECK, STOCKS_EXIT</t>
        </is>
      </c>
      <c r="E10" s="38" t="n"/>
      <c r="F10" s="26" t="n"/>
      <c r="G10" s="38">
        <f>IFERROR(VLOOKUP($A38&amp;"_"&amp;$B38,Results_Deltas!$A$2:$P$15000,5,FALSE),"")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DC_MOMENT_STRONG_THRESHOLD</t>
        </is>
      </c>
      <c r="B11" s="40" t="inlineStr">
        <is>
          <t>40</t>
        </is>
      </c>
      <c r="C11" s="38" t="n"/>
      <c r="D11" s="38" t="inlineStr">
        <is>
          <t>ENTRY, GLOBAL_CHECK, STOCKS_EXIT</t>
        </is>
      </c>
      <c r="E11" s="38" t="n"/>
      <c r="F11" s="26" t="n"/>
      <c r="G11" s="38">
        <f>IFERROR(VLOOKUP($A39&amp;"_"&amp;$B39,Results_Deltas!$A$2:$P$15000,5,FALSE),"")</f>
        <v/>
      </c>
      <c r="H11" s="38" t="inlineStr">
        <is>
          <t>Blanket (page end)</t>
        </is>
      </c>
      <c r="I11" s="26" t="n"/>
      <c r="J11" s="26" t="n"/>
      <c r="K11" s="26" t="n"/>
      <c r="L11" s="26" t="inlineStr">
        <is>
          <t>YES</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DC_MOMENT_STRONG_THRESHOLD</t>
        </is>
      </c>
      <c r="B12" s="38" t="inlineStr">
        <is>
          <t>20</t>
        </is>
      </c>
      <c r="C12" s="38" t="n"/>
      <c r="D12" s="38" t="inlineStr">
        <is>
          <t>ENTRY, GLOBAL_CHECK, STOCKS_EXIT</t>
        </is>
      </c>
      <c r="E12" s="38" t="n"/>
      <c r="F12" s="26" t="n"/>
      <c r="G12" s="38">
        <f>IFERROR(VLOOKUP($A42&amp;"_"&amp;$B42,Results_Deltas!$A$2:$P$15000,5,FALSE),"")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GR_FILTER_VEC_ENABLED</t>
        </is>
      </c>
      <c r="B13" s="38" t="inlineStr">
        <is>
          <t>False</t>
        </is>
      </c>
      <c r="C13" s="38" t="n"/>
      <c r="D13" s="38" t="inlineStr">
        <is>
          <t>GLOBAL_CHECK</t>
        </is>
      </c>
      <c r="E13" s="38" t="n"/>
      <c r="F13" s="26" t="n"/>
      <c r="G13" s="38">
        <f>IFERROR(VLOOKUP($A87&amp;"_"&amp;$B87,Results_Deltas!$A$2:$P$15000,5,FALSE),"")</f>
        <v/>
      </c>
      <c r="H13" s="38" t="inlineStr">
        <is>
          <t>Blanket (page end)</t>
        </is>
      </c>
      <c r="I13" s="26" t="n"/>
      <c r="J13" s="26" t="n"/>
      <c r="K13" s="26" t="n"/>
      <c r="L13" s="26" t="inlineStr">
        <is>
          <t>YES</t>
        </is>
      </c>
      <c r="M13" s="0"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GR_FILTER_VEC_ENABLED</t>
        </is>
      </c>
      <c r="B14" s="38" t="inlineStr">
        <is>
          <t>True</t>
        </is>
      </c>
      <c r="C14" s="38" t="n"/>
      <c r="D14" s="38" t="inlineStr">
        <is>
          <t>GLOBAL_CHECK</t>
        </is>
      </c>
      <c r="E14" s="38" t="n"/>
      <c r="F14" s="26" t="n"/>
      <c r="G14" s="38">
        <f>IFERROR(VLOOKUP($A88&amp;"_"&amp;$B88,Results_Deltas!$A$2:$P$15000,5,FALSE),"")</f>
        <v/>
      </c>
      <c r="H14" s="38" t="inlineStr">
        <is>
          <t>Blanket (page end)</t>
        </is>
      </c>
      <c r="I14" s="26" t="n"/>
      <c r="J14" s="26" t="n"/>
      <c r="K14" s="26" t="n"/>
      <c r="L14" s="26" t="inlineStr">
        <is>
          <t>NO</t>
        </is>
      </c>
      <c r="M14" s="0"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GR_FILTER_VEC_MIN_TFS</t>
        </is>
      </c>
      <c r="B15" s="38" t="inlineStr">
        <is>
          <t>1</t>
        </is>
      </c>
      <c r="C15" s="38" t="n"/>
      <c r="D15" s="38" t="inlineStr">
        <is>
          <t>GLOBAL_CHECK</t>
        </is>
      </c>
      <c r="E15" s="38" t="n"/>
      <c r="F15" s="26" t="n"/>
      <c r="G15" s="38">
        <f>IFERROR(VLOOKUP($A91&amp;"_"&amp;$B91,Results_Deltas!$A$2:$P$15000,5,FALSE),"")</f>
        <v/>
      </c>
      <c r="H15" s="38" t="inlineStr">
        <is>
          <t>Blanket (page end)</t>
        </is>
      </c>
      <c r="I15" s="26" t="n"/>
      <c r="J15" s="26" t="n"/>
      <c r="K15" s="26" t="n"/>
      <c r="L15" s="26" t="inlineStr">
        <is>
          <t>NO</t>
        </is>
      </c>
      <c r="M15" s="0"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row r="17" s="67"/>
    <row r="18" s="67"/>
    <row r="19" s="67"/>
    <row r="20"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0" t="inlineStr">
        <is>
          <t>ULTIMATE_DC_4H_STOP_ENABLED</t>
        </is>
      </c>
      <c r="B3" s="0" t="inlineStr">
        <is>
          <t>True</t>
        </is>
      </c>
      <c r="C3" s="0" t="inlineStr"/>
      <c r="D3" s="0" t="inlineStr">
        <is>
          <t>GLOBAL, CRYPTO_EXIT, STOCKS_EXIT</t>
        </is>
      </c>
      <c r="H3" s="0" t="inlineStr">
        <is>
          <t>ABSOLUTE HARD_STOP (2026-09-19)</t>
        </is>
      </c>
      <c r="M3" s="0" t="n">
        <v>0</v>
      </c>
      <c r="N3" s="0" t="n">
        <v>0</v>
      </c>
    </row>
    <row r="4" ht="10.5" customHeight="1" s="67"/>
    <row r="5" ht="10.5" customHeight="1" s="67"/>
    <row r="6" ht="10.5" customHeight="1" s="67"/>
    <row r="7" ht="10.5" customHeight="1" s="67"/>
    <row r="8" ht="10.5" customHeight="1" s="67"/>
    <row r="9" s="67"/>
    <row r="10" s="67"/>
    <row r="11" s="67"/>
    <row r="12" s="67"/>
    <row r="13" s="67"/>
    <row r="14" s="67"/>
    <row r="15" s="67"/>
    <row r="16" s="67"/>
    <row r="17" s="67"/>
    <row r="18" s="67"/>
    <row r="19" s="67"/>
    <row r="20"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STDEV_REJECT_EXIT_TF</t>
        </is>
      </c>
      <c r="B3" s="26" t="inlineStr">
        <is>
          <t>1h</t>
        </is>
      </c>
      <c r="C3" s="26" t="n"/>
      <c r="D3" s="26" t="n"/>
      <c r="E3" s="26" t="n"/>
      <c r="F3" s="26" t="n"/>
      <c r="G3" s="26">
        <f>IFERROR(VLOOKUP($A47&amp;"_"&amp;$B47,Results_Deltas!$A$2:$P$15000,5,FALSE),"")</f>
        <v/>
      </c>
      <c r="H3" s="26">
        <f>IFERROR(VLOOKUP($A47,Results_30d_Deltas!$A$2:$H$5000,7,FALSE)-E46,"")</f>
        <v/>
      </c>
      <c r="I3" s="26">
        <f>IFERROR(VLOOKUP($A47,Results_30d_Deltas!$A$2:$H$5000,6,FALSE),"")</f>
        <v/>
      </c>
      <c r="J3" s="26" t="n"/>
      <c r="K3" s="26" t="n"/>
      <c r="L3" s="26" t="inlineStr">
        <is>
          <t>NO</t>
        </is>
      </c>
      <c r="M3" s="74" t="n">
        <v>25</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4" t="inlineStr">
        <is>
          <t>MTF_DC_REJECT_FILTER_TF=OFF</t>
        </is>
      </c>
      <c r="GR3" s="34" t="inlineStr">
        <is>
          <t>MTF_DC_REJECT_FILTER_TF=D</t>
        </is>
      </c>
      <c r="GS3" s="34" t="inlineStr">
        <is>
          <t>MTF_DC_REJECT_FILTER_TF=4h</t>
        </is>
      </c>
      <c r="GT3" s="34" t="inlineStr">
        <is>
          <t>MTF_DC_REJECT_FILTER_TF=1h</t>
        </is>
      </c>
      <c r="GU3" s="34" t="inlineStr">
        <is>
          <t>MTF_DC_REJECT_FILTER_TF=15m</t>
        </is>
      </c>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ez_manage.py:4058 top()</t>
        </is>
      </c>
      <c r="IN3" s="26" t="inlineStr">
        <is>
          <t>v12_quick_engine.py:3298 x3</t>
        </is>
      </c>
      <c r="IO3" s="26" t="n"/>
    </row>
    <row r="4" ht="10.5" customHeight="1" s="67">
      <c r="A4" s="27" t="inlineStr">
        <is>
          <t>STDEV_REJECT_EXIT_TF</t>
        </is>
      </c>
      <c r="B4" s="27" t="inlineStr">
        <is>
          <t>D</t>
        </is>
      </c>
      <c r="C4" s="26" t="n"/>
      <c r="D4" s="26" t="n"/>
      <c r="E4" s="26" t="n"/>
      <c r="F4" s="26" t="n"/>
      <c r="G4" s="26">
        <f>IFERROR(VLOOKUP($A45&amp;"_"&amp;$B45,Results_Deltas!$A$2:$P$15000,5,FALSE),"")</f>
        <v/>
      </c>
      <c r="H4" s="26">
        <f>IFERROR(VLOOKUP($A45,Results_30d_Deltas!$A$2:$H$5000,7,FALSE)-E44,"")</f>
        <v/>
      </c>
      <c r="I4" s="26">
        <f>IFERROR(VLOOKUP($A45,Results_30d_Deltas!$A$2:$H$5000,6,FALSE),"")</f>
        <v/>
      </c>
      <c r="J4" s="26" t="n"/>
      <c r="K4" s="26" t="n"/>
      <c r="L4" s="26" t="inlineStr">
        <is>
          <t>NO</t>
        </is>
      </c>
      <c r="M4" s="74" t="n">
        <v>25</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4" t="inlineStr">
        <is>
          <t>MTF_DC_REJECT_FILTER_TF=OFF</t>
        </is>
      </c>
      <c r="GR4" s="34" t="inlineStr">
        <is>
          <t>MTF_DC_REJECT_FILTER_TF=D</t>
        </is>
      </c>
      <c r="GS4" s="34" t="inlineStr">
        <is>
          <t>MTF_DC_REJECT_FILTER_TF=4h</t>
        </is>
      </c>
      <c r="GT4" s="34" t="inlineStr">
        <is>
          <t>MTF_DC_REJECT_FILTER_TF=1h</t>
        </is>
      </c>
      <c r="GU4" s="34" t="inlineStr">
        <is>
          <t>MTF_DC_REJECT_FILTER_TF=15m</t>
        </is>
      </c>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ez_manage.py:4058 top()</t>
        </is>
      </c>
      <c r="IN4" s="26" t="inlineStr">
        <is>
          <t>v12_quick_engine.py:3298 x3</t>
        </is>
      </c>
      <c r="IO4" s="26" t="n"/>
    </row>
    <row r="5" ht="10.5" customHeight="1" s="67">
      <c r="A5" s="37" t="inlineStr">
        <is>
          <t>GR_FILTER_ALL_ENTRIES</t>
        </is>
      </c>
      <c r="B5" s="38" t="inlineStr">
        <is>
          <t>0.0</t>
        </is>
      </c>
      <c r="C5" s="38" t="n"/>
      <c r="D5" s="38" t="inlineStr">
        <is>
          <t>GLOBAL_CHECK, STOCKS_EXIT</t>
        </is>
      </c>
      <c r="E5" s="38" t="n"/>
      <c r="F5" s="26" t="n"/>
      <c r="G5" s="38">
        <f>IFERROR(VLOOKUP($A154&amp;"_"&amp;$B154,Results_Deltas!$A$2:$P$15000,5,FALSE),"")</f>
        <v/>
      </c>
      <c r="H5" s="38" t="inlineStr">
        <is>
          <t>Blanket (page end)</t>
        </is>
      </c>
      <c r="I5" s="26" t="n"/>
      <c r="J5" s="26" t="n"/>
      <c r="K5" s="26" t="n"/>
      <c r="L5" s="26" t="inlineStr">
        <is>
          <t>NO</t>
        </is>
      </c>
      <c r="M5" s="0"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MTS_GATE_ENABLED</t>
        </is>
      </c>
      <c r="B6" s="40" t="inlineStr">
        <is>
          <t>True</t>
        </is>
      </c>
      <c r="C6" s="38" t="n"/>
      <c r="D6" s="38" t="inlineStr">
        <is>
          <t>ENTRY, GLOBAL_CHECK, STOCKS_EXIT</t>
        </is>
      </c>
      <c r="E6" s="38" t="n"/>
      <c r="F6" s="26" t="n"/>
      <c r="G6" s="38">
        <f>IFERROR(VLOOKUP($A237&amp;"_"&amp;$B237,Results_Deltas!$A$2:$P$15000,5,FALSE),"")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0" t="inlineStr">
        <is>
          <t>BB_SQUEEZE_EXIT_ENABLED</t>
        </is>
      </c>
      <c r="B7" s="0" t="inlineStr">
        <is>
          <t>True</t>
        </is>
      </c>
      <c r="G7" s="0">
        <f>IFERROR(VLOOKUP($A186&amp;"_"&amp;$B186,Results_Deltas!$A$2:$P$15000,5,FALSE),"")</f>
        <v/>
      </c>
      <c r="H7" s="0">
        <f>IFERROR(VLOOKUP($A186,Results_30d_Deltas!$A$2:$H$5000,7,FALSE)-E5,"")</f>
        <v/>
      </c>
      <c r="I7" s="0">
        <f>IFERROR(VLOOKUP($A186,Results_30d_Deltas!$A$2:$H$5000,6,FALSE),"")</f>
        <v/>
      </c>
      <c r="L7" s="0" t="inlineStr">
        <is>
          <t>NO</t>
        </is>
      </c>
      <c r="M7" s="0" t="n">
        <v>25</v>
      </c>
      <c r="N7" s="0" t="n">
        <v>0</v>
      </c>
    </row>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IFERROR(VLOOKUP($A255&amp;"_"&amp;$B255,Results_Deltas!$A$2:$P$15000,5,FALSE),"")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COOLDOWN_LOCKS_FILTER_TF</t>
        </is>
      </c>
      <c r="B4" s="38" t="inlineStr">
        <is>
          <t>OFF</t>
        </is>
      </c>
      <c r="C4" s="38" t="n"/>
      <c r="D4" s="38" t="inlineStr">
        <is>
          <t>GLOBAL_CHECK</t>
        </is>
      </c>
      <c r="E4" s="38" t="n"/>
      <c r="F4" s="26" t="n"/>
      <c r="G4" s="38">
        <f>IFERROR(VLOOKUP($A268&amp;"_"&amp;$B268,Results_Deltas!$A$2:$P$15000,5,FALSE),"")</f>
        <v/>
      </c>
      <c r="H4" s="38" t="inlineStr">
        <is>
          <t>Blanket (page end)</t>
        </is>
      </c>
      <c r="I4" s="26" t="n"/>
      <c r="J4" s="26" t="n"/>
      <c r="K4" s="26" t="n"/>
      <c r="L4" s="26" t="inlineStr">
        <is>
          <t>NO</t>
        </is>
      </c>
      <c r="M4" s="74" t="n">
        <v>3</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COOLDOWN_LOCKS_FILTER_TF</t>
        </is>
      </c>
      <c r="B5" s="38" t="inlineStr">
        <is>
          <t>4h</t>
        </is>
      </c>
      <c r="C5" s="38" t="n"/>
      <c r="D5" s="38" t="inlineStr">
        <is>
          <t>GLOBAL_CHECK</t>
        </is>
      </c>
      <c r="E5" s="38" t="n"/>
      <c r="F5" s="26" t="n"/>
      <c r="G5" s="38">
        <f>IFERROR(VLOOKUP($A270&amp;"_"&amp;$B270,Results_Deltas!$A$2:$P$15000,5,FALSE),"")</f>
        <v/>
      </c>
      <c r="H5" s="38" t="inlineStr">
        <is>
          <t>Blanket (page end)</t>
        </is>
      </c>
      <c r="I5" s="26" t="n"/>
      <c r="J5" s="26" t="n"/>
      <c r="K5" s="26" t="n"/>
      <c r="L5" s="26" t="inlineStr">
        <is>
          <t>NO</t>
        </is>
      </c>
      <c r="M5" s="74" t="n">
        <v>3</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CRYPTO_SPIKE_FADE_THRESHOLD_PCT</t>
        </is>
      </c>
      <c r="B6" s="38" t="inlineStr">
        <is>
          <t>12.5</t>
        </is>
      </c>
      <c r="C6" s="38" t="n"/>
      <c r="D6" s="38" t="inlineStr">
        <is>
          <t>GLOBAL_CHECK, STOCKS_EXIT</t>
        </is>
      </c>
      <c r="E6" s="38" t="n"/>
      <c r="F6" s="26" t="n"/>
      <c r="G6" s="38">
        <f>IFERROR(VLOOKUP($A274&amp;"_"&amp;$B274,Results_Deltas!$A$2:$P$15000,5,FALSE),"")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9" t="inlineStr">
        <is>
          <t>HTF_TREND_VETO_BYPASS_ENABLED</t>
        </is>
      </c>
      <c r="B3" s="40" t="inlineStr">
        <is>
          <t>True</t>
        </is>
      </c>
      <c r="C3" s="38" t="n"/>
      <c r="D3" s="38" t="inlineStr">
        <is>
          <t>GLOBAL_CHECK, STOCKS_EXIT</t>
        </is>
      </c>
      <c r="E3" s="38" t="n"/>
      <c r="F3" s="26" t="n"/>
      <c r="G3" s="38">
        <f>IFERROR(VLOOKUP($A146&amp;"_"&amp;$B146,Results_Deltas!$A$2:$P$15000,5,FALSE),"")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9" t="inlineStr">
        <is>
          <t>LIVE_VEC_EMERGENCY_BRAKE_ENABLED</t>
        </is>
      </c>
      <c r="B4" s="40" t="inlineStr">
        <is>
          <t>False</t>
        </is>
      </c>
      <c r="C4" s="38" t="n"/>
      <c r="D4" s="38" t="inlineStr">
        <is>
          <t>GLOBAL_CHECK, STOCKS_EXIT</t>
        </is>
      </c>
      <c r="E4" s="38" t="n"/>
      <c r="F4" s="26" t="n"/>
      <c r="G4" s="38">
        <f>IFERROR(VLOOKUP($A157&amp;"_"&amp;$B157,Results_Deltas!$A$2:$P$15000,5,FALSE),"")</f>
        <v/>
      </c>
      <c r="H4" s="38" t="inlineStr">
        <is>
          <t>Blanket (page end)</t>
        </is>
      </c>
      <c r="I4" s="26" t="n"/>
      <c r="J4" s="26" t="n"/>
      <c r="K4" s="26" t="n"/>
      <c r="L4" s="26" t="inlineStr">
        <is>
          <t>NO</t>
        </is>
      </c>
      <c r="M4" s="0" t="n">
        <v>9</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MANDATORY_REENTRY_WT_FILTER_MIN_TFS</t>
        </is>
      </c>
      <c r="B5" s="38" t="inlineStr">
        <is>
          <t>3</t>
        </is>
      </c>
      <c r="C5" s="38" t="n"/>
      <c r="D5" s="38" t="inlineStr">
        <is>
          <t>GLOBAL_CHECK, STOCKS_EXIT</t>
        </is>
      </c>
      <c r="E5" s="38" t="n"/>
      <c r="F5" s="26" t="n"/>
      <c r="G5" s="38">
        <f>IFERROR(VLOOKUP($A166&amp;"_"&amp;$B166,Results_Deltas!$A$2:$P$15000,5,FALSE),"")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7" t="inlineStr">
        <is>
          <t>MANDATORY_REENTRY_WT_FILTER_MIN_TFS</t>
        </is>
      </c>
      <c r="B6" s="38" t="inlineStr">
        <is>
          <t>2</t>
        </is>
      </c>
      <c r="C6" s="38" t="n"/>
      <c r="D6" s="38" t="inlineStr">
        <is>
          <t>GLOBAL_CHECK, STOCKS_EXIT</t>
        </is>
      </c>
      <c r="E6" s="38" t="n"/>
      <c r="F6" s="26" t="n"/>
      <c r="G6" s="38">
        <f>IFERROR(VLOOKUP($A167&amp;"_"&amp;$B167,Results_Deltas!$A$2:$P$15000,5,FALSE),"")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MOVER_THRESHOLD</t>
        </is>
      </c>
      <c r="B7" s="38" t="inlineStr">
        <is>
          <t>6.25</t>
        </is>
      </c>
      <c r="C7" s="38" t="n"/>
      <c r="D7" s="38" t="inlineStr">
        <is>
          <t>ENTRY, GLOBAL_CHECK, STOCKS_EXIT</t>
        </is>
      </c>
      <c r="E7" s="38" t="n"/>
      <c r="F7" s="26" t="n"/>
      <c r="G7" s="38">
        <f>IFERROR(VLOOKUP($A179&amp;"_"&amp;$B179,Results_Deltas!$A$2:$P$15000,5,FALSE),"")</f>
        <v/>
      </c>
      <c r="H7" s="38" t="inlineStr">
        <is>
          <t>Blanket (page end)</t>
        </is>
      </c>
      <c r="I7" s="26" t="n"/>
      <c r="J7" s="26" t="n"/>
      <c r="K7" s="26" t="n"/>
      <c r="L7" s="26" t="inlineStr">
        <is>
          <t>YES</t>
        </is>
      </c>
      <c r="M7" s="0" t="n">
        <v>26</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MTF_GR_MIN_IND</t>
        </is>
      </c>
      <c r="B8" s="38" t="inlineStr">
        <is>
          <t>5</t>
        </is>
      </c>
      <c r="C8" s="38" t="n"/>
      <c r="D8" s="38" t="inlineStr">
        <is>
          <t>GLOBAL_CHECK, STOCKS_EXIT</t>
        </is>
      </c>
      <c r="E8" s="38" t="n"/>
      <c r="F8" s="26" t="n"/>
      <c r="G8" s="38">
        <f>IFERROR(VLOOKUP($A184&amp;"_"&amp;$B184,Results_Deltas!$A$2:$P$15000,5,FALSE),"")</f>
        <v/>
      </c>
      <c r="H8" s="38" t="inlineStr">
        <is>
          <t>Blanket (page end)</t>
        </is>
      </c>
      <c r="I8" s="26" t="n"/>
      <c r="J8" s="26" t="n"/>
      <c r="K8" s="26" t="n"/>
      <c r="L8" s="26" t="inlineStr">
        <is>
          <t>NO</t>
        </is>
      </c>
      <c r="M8" s="0"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NEWBORN_LOSS_KILL_GAIN_THRESHOLD_PCT</t>
        </is>
      </c>
      <c r="B9" s="38" t="inlineStr">
        <is>
          <t>2.0</t>
        </is>
      </c>
      <c r="C9" s="38" t="n"/>
      <c r="D9" s="38" t="inlineStr">
        <is>
          <t>AUGMENT, EXIT, GLOBAL_CHECK, REDUCE, STOCKS_EXIT</t>
        </is>
      </c>
      <c r="E9" s="38" t="n"/>
      <c r="F9" s="26" t="n"/>
      <c r="G9" s="38">
        <f>IFERROR(VLOOKUP($A197&amp;"_"&amp;$B197,Results_Deltas!$A$2:$P$15000,5,FALSE),"")</f>
        <v/>
      </c>
      <c r="H9" s="38" t="inlineStr">
        <is>
          <t>Blanket (page end)</t>
        </is>
      </c>
      <c r="I9" s="26" t="n"/>
      <c r="J9" s="26" t="n"/>
      <c r="K9" s="26" t="n"/>
      <c r="L9" s="26" t="inlineStr">
        <is>
          <t>YES</t>
        </is>
      </c>
      <c r="M9" s="0" t="n">
        <v>24</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BOUNCE_AUGMENT_MIN_LOSS_PCT</t>
        </is>
      </c>
      <c r="B3" s="26" t="inlineStr">
        <is>
          <t>-0.75</t>
        </is>
      </c>
      <c r="C3" s="26" t="n"/>
      <c r="D3" s="26" t="n"/>
      <c r="E3" s="26" t="n"/>
      <c r="F3" s="26" t="n"/>
      <c r="G3" s="26">
        <f>IFERROR(VLOOKUP($A8&amp;"_"&amp;$B8,Results_Deltas!$A$2:$P$15000,5,FALSE),"")</f>
        <v/>
      </c>
      <c r="H3" s="26">
        <f>IFERROR(VLOOKUP($A8,Results_30d_Deltas!$A$2:$H$5000,7,FALSE)-E7,"")</f>
        <v/>
      </c>
      <c r="I3" s="26">
        <f>IFERROR(VLOOKUP($A8,Results_30d_Deltas!$A$2:$H$5000,6,FALSE),"")</f>
        <v/>
      </c>
      <c r="J3" s="26" t="n"/>
      <c r="K3" s="26" t="n"/>
      <c r="L3" s="26" t="inlineStr">
        <is>
          <t>NO</t>
        </is>
      </c>
      <c r="M3" s="74" t="n">
        <v>24</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4" t="inlineStr">
        <is>
          <t>NEWBORN_LOSS_KILL_FILTER_TF=OFF</t>
        </is>
      </c>
      <c r="GW3" s="34" t="inlineStr">
        <is>
          <t>NEWBORN_LOSS_KILL_FILTER_TF=D</t>
        </is>
      </c>
      <c r="GX3" s="34" t="inlineStr">
        <is>
          <t>NEWBORN_LOSS_KILL_FILTER_TF=4h</t>
        </is>
      </c>
      <c r="GY3" s="34" t="inlineStr">
        <is>
          <t>NEWBORN_LOSS_KILL_FILTER_TF=1h</t>
        </is>
      </c>
      <c r="GZ3" s="34" t="inlineStr">
        <is>
          <t>NEWBORN_LOSS_KILL_FILTER_TF=15m</t>
        </is>
      </c>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ez_manage.py:4390 top()</t>
        </is>
      </c>
      <c r="IN3" s="26" t="inlineStr">
        <is>
          <t>v12_quick_engine.py:1310 x9</t>
        </is>
      </c>
      <c r="IO3" s="26" t="n"/>
    </row>
    <row r="4" ht="10.5" customHeight="1" s="67">
      <c r="A4" s="26" t="inlineStr">
        <is>
          <t>BOUNCE_AUGMENT_MIN_LOSS_PCT</t>
        </is>
      </c>
      <c r="B4" s="26" t="inlineStr">
        <is>
          <t>-0.625</t>
        </is>
      </c>
      <c r="C4" s="26" t="n"/>
      <c r="D4" s="26" t="n"/>
      <c r="E4" s="26" t="n"/>
      <c r="F4" s="26" t="n"/>
      <c r="G4" s="26">
        <f>IFERROR(VLOOKUP($A9&amp;"_"&amp;$B9,Results_Deltas!$A$2:$P$15000,5,FALSE),"")</f>
        <v/>
      </c>
      <c r="H4" s="26">
        <f>IFERROR(VLOOKUP($A9,Results_30d_Deltas!$A$2:$H$5000,7,FALSE)-E8,"")</f>
        <v/>
      </c>
      <c r="I4" s="26">
        <f>IFERROR(VLOOKUP($A9,Results_30d_Deltas!$A$2:$H$5000,6,FALSE),"")</f>
        <v/>
      </c>
      <c r="J4" s="26" t="n"/>
      <c r="K4" s="26" t="n"/>
      <c r="L4" s="26" t="inlineStr">
        <is>
          <t>NO</t>
        </is>
      </c>
      <c r="M4" s="74" t="n">
        <v>24</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4" t="inlineStr">
        <is>
          <t>NEWBORN_LOSS_KILL_FILTER_TF=OFF</t>
        </is>
      </c>
      <c r="GW4" s="34" t="inlineStr">
        <is>
          <t>NEWBORN_LOSS_KILL_FILTER_TF=D</t>
        </is>
      </c>
      <c r="GX4" s="34" t="inlineStr">
        <is>
          <t>NEWBORN_LOSS_KILL_FILTER_TF=4h</t>
        </is>
      </c>
      <c r="GY4" s="34" t="inlineStr">
        <is>
          <t>NEWBORN_LOSS_KILL_FILTER_TF=1h</t>
        </is>
      </c>
      <c r="GZ4" s="34" t="inlineStr">
        <is>
          <t>NEWBORN_LOSS_KILL_FILTER_TF=15m</t>
        </is>
      </c>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ez_manage.py:4390 top()</t>
        </is>
      </c>
      <c r="IN4" s="26" t="inlineStr">
        <is>
          <t>v12_quick_engine.py:1310 x9</t>
        </is>
      </c>
      <c r="IO4" s="26" t="n"/>
    </row>
    <row r="5" ht="10.5" customHeight="1" s="67">
      <c r="A5" s="37" t="inlineStr">
        <is>
          <t>COOLDOWN_LOCKS_FILTER_TF</t>
        </is>
      </c>
      <c r="B5" s="38" t="inlineStr">
        <is>
          <t>D</t>
        </is>
      </c>
      <c r="C5" s="38" t="n"/>
      <c r="D5" s="38" t="inlineStr">
        <is>
          <t>GLOBAL_CHECK</t>
        </is>
      </c>
      <c r="E5" s="38" t="n"/>
      <c r="F5" s="26" t="n"/>
      <c r="G5" s="38">
        <f>IFERROR(VLOOKUP($A38&amp;"_"&amp;$B38,Results_Deltas!$A$2:$P$15000,5,FALSE),"")</f>
        <v/>
      </c>
      <c r="H5" s="38" t="inlineStr">
        <is>
          <t>Blanket (page end)</t>
        </is>
      </c>
      <c r="I5" s="26" t="n"/>
      <c r="J5" s="26" t="n"/>
      <c r="K5" s="26" t="n"/>
      <c r="L5" s="26" t="inlineStr">
        <is>
          <t>NO</t>
        </is>
      </c>
      <c r="M5" s="74" t="n">
        <v>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DELTA_REENTRY_FILTER_ENABLED</t>
        </is>
      </c>
      <c r="B6" s="40" t="inlineStr">
        <is>
          <t>False</t>
        </is>
      </c>
      <c r="C6" s="38" t="n"/>
      <c r="D6" s="38" t="inlineStr">
        <is>
          <t>ENTRY, GLOBAL_CHECK, STOCKS_EXIT</t>
        </is>
      </c>
      <c r="E6" s="38" t="n"/>
      <c r="F6" s="26" t="n"/>
      <c r="G6" s="38">
        <f>IFERROR(VLOOKUP($A52&amp;"_"&amp;$B52,Results_Deltas!$A$2:$P$15000,5,FALSE),"")</f>
        <v/>
      </c>
      <c r="H6" s="38" t="inlineStr">
        <is>
          <t>Blanket (page end)</t>
        </is>
      </c>
      <c r="I6" s="26" t="n"/>
      <c r="J6" s="26" t="n"/>
      <c r="K6" s="26" t="n"/>
      <c r="L6" s="26" t="inlineStr">
        <is>
          <t>NO</t>
        </is>
      </c>
      <c r="M6" s="74" t="n">
        <v>9</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DELTA_REENTRY_FILTER_ENABLED</t>
        </is>
      </c>
      <c r="B7" s="38" t="inlineStr">
        <is>
          <t>True</t>
        </is>
      </c>
      <c r="C7" s="38" t="n"/>
      <c r="D7" s="38" t="inlineStr">
        <is>
          <t>ENTRY, GLOBAL_CHECK, STOCKS_EXIT</t>
        </is>
      </c>
      <c r="E7" s="38" t="n"/>
      <c r="F7" s="26" t="n"/>
      <c r="G7" s="38">
        <f>IFERROR(VLOOKUP($A53&amp;"_"&amp;$B53,Results_Deltas!$A$2:$P$15000,5,FALSE),"")</f>
        <v/>
      </c>
      <c r="H7" s="38" t="inlineStr">
        <is>
          <t>Blanket (page end)</t>
        </is>
      </c>
      <c r="I7" s="26" t="n"/>
      <c r="J7" s="26" t="n"/>
      <c r="K7" s="26" t="n"/>
      <c r="L7" s="26" t="inlineStr">
        <is>
          <t>NO</t>
        </is>
      </c>
      <c r="M7" s="74" t="n">
        <v>27</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DUP_GUARD_FILTER_TF</t>
        </is>
      </c>
      <c r="B8" s="38" t="inlineStr">
        <is>
          <t>OFF</t>
        </is>
      </c>
      <c r="C8" s="38" t="n"/>
      <c r="D8" s="38" t="inlineStr">
        <is>
          <t>GLOBAL_CHECK</t>
        </is>
      </c>
      <c r="E8" s="38" t="n"/>
      <c r="F8" s="26" t="n"/>
      <c r="G8" s="38">
        <f>IFERROR(VLOOKUP($A54&amp;"_"&amp;$B54,Results_Deltas!$A$2:$P$15000,5,FALSE),"")</f>
        <v/>
      </c>
      <c r="H8" s="38" t="inlineStr">
        <is>
          <t>Blanket (page end)</t>
        </is>
      </c>
      <c r="I8" s="26" t="n"/>
      <c r="J8" s="26" t="n"/>
      <c r="K8" s="26" t="n"/>
      <c r="L8" s="26" t="inlineStr">
        <is>
          <t>NO</t>
        </is>
      </c>
      <c r="M8" s="74"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EMA_9_21_FILTER_MIN_TFS</t>
        </is>
      </c>
      <c r="B9" s="38" t="inlineStr">
        <is>
          <t>0</t>
        </is>
      </c>
      <c r="C9" s="38" t="n"/>
      <c r="D9" s="38" t="inlineStr">
        <is>
          <t>GLOBAL_CHECK</t>
        </is>
      </c>
      <c r="E9" s="38" t="n"/>
      <c r="F9" s="26" t="n"/>
      <c r="G9" s="38">
        <f>IFERROR(VLOOKUP($A59&amp;"_"&amp;$B59,Results_Deltas!$A$2:$P$15000,5,FALSE),"")</f>
        <v/>
      </c>
      <c r="H9" s="38" t="inlineStr">
        <is>
          <t>Blanket (page end)</t>
        </is>
      </c>
      <c r="I9" s="26" t="n"/>
      <c r="J9" s="26" t="n"/>
      <c r="K9" s="26" t="n"/>
      <c r="L9" s="26" t="inlineStr">
        <is>
          <t>NO</t>
        </is>
      </c>
      <c r="M9" s="74"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LR_BAND_LADDER_TF_BOTTOM</t>
        </is>
      </c>
      <c r="B10" s="38" t="inlineStr">
        <is>
          <t>0</t>
        </is>
      </c>
      <c r="C10" s="38" t="n"/>
      <c r="D10" s="38" t="inlineStr">
        <is>
          <t>GLOBAL_CHECK, STOCKS_EXIT</t>
        </is>
      </c>
      <c r="E10" s="38" t="n"/>
      <c r="F10" s="26" t="n"/>
      <c r="G10" s="38">
        <f>IFERROR(VLOOKUP($A141&amp;"_"&amp;$B141,Results_Deltas!$A$2:$P$15000,5,FALSE),"")</f>
        <v/>
      </c>
      <c r="H10" s="38" t="inlineStr">
        <is>
          <t>Blanket (page end)</t>
        </is>
      </c>
      <c r="I10" s="26" t="n"/>
      <c r="J10" s="26" t="n"/>
      <c r="K10" s="26" t="n"/>
      <c r="L10" s="26" t="inlineStr">
        <is>
          <t>NO</t>
        </is>
      </c>
      <c r="M10" s="0" t="n">
        <v>26</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DELTA_REENTRY_FILTER_ENABLED</t>
        </is>
      </c>
      <c r="B3" s="40" t="inlineStr">
        <is>
          <t>False</t>
        </is>
      </c>
      <c r="C3" s="38" t="n"/>
      <c r="D3" s="38" t="inlineStr">
        <is>
          <t>ENTRY, GLOBAL_CHECK, STOCKS_EXIT</t>
        </is>
      </c>
      <c r="E3" s="38" t="n"/>
      <c r="F3" s="26" t="n"/>
      <c r="G3" s="38">
        <f>IFERROR(VLOOKUP($A84&amp;"_"&amp;$B84,Results_Deltas!$A$2:$P$15000,5,FALSE),"")</f>
        <v/>
      </c>
      <c r="H3" s="38" t="inlineStr">
        <is>
          <t>Blanket (page end)</t>
        </is>
      </c>
      <c r="I3" s="26" t="n"/>
      <c r="J3" s="26" t="n"/>
      <c r="K3" s="26" t="n"/>
      <c r="L3" s="26" t="inlineStr">
        <is>
          <t>NO</t>
        </is>
      </c>
      <c r="M3" s="74" t="n">
        <v>9</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EMA_9_21_FILTER_MIN_TFS</t>
        </is>
      </c>
      <c r="B4" s="38" t="inlineStr">
        <is>
          <t>0</t>
        </is>
      </c>
      <c r="C4" s="38" t="n"/>
      <c r="D4" s="38" t="inlineStr">
        <is>
          <t>GLOBAL_CHECK</t>
        </is>
      </c>
      <c r="E4" s="38" t="n"/>
      <c r="F4" s="26" t="n"/>
      <c r="G4" s="38">
        <f>IFERROR(VLOOKUP($A91&amp;"_"&amp;$B91,Results_Deltas!$A$2:$P$15000,5,FALSE),"")</f>
        <v/>
      </c>
      <c r="H4" s="38" t="inlineStr">
        <is>
          <t>Blanket (page end)</t>
        </is>
      </c>
      <c r="I4" s="26" t="n"/>
      <c r="J4" s="26" t="n"/>
      <c r="K4" s="26" t="n"/>
      <c r="L4" s="26" t="inlineStr">
        <is>
          <t>NO</t>
        </is>
      </c>
      <c r="M4" s="74" t="n">
        <v>3</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GR_FILTER_VEC_ENABLED</t>
        </is>
      </c>
      <c r="B5" s="38" t="inlineStr">
        <is>
          <t>True</t>
        </is>
      </c>
      <c r="C5" s="38" t="n"/>
      <c r="D5" s="38" t="inlineStr">
        <is>
          <t>GLOBAL_CHECK</t>
        </is>
      </c>
      <c r="E5" s="38" t="n"/>
      <c r="F5" s="26" t="n"/>
      <c r="G5" s="38">
        <f>IFERROR(VLOOKUP($A127&amp;"_"&amp;$B127,Results_Deltas!$A$2:$P$15000,5,FALSE),"")</f>
        <v/>
      </c>
      <c r="H5" s="38" t="inlineStr">
        <is>
          <t>Blanket (page end)</t>
        </is>
      </c>
      <c r="I5" s="26" t="n"/>
      <c r="J5" s="26" t="n"/>
      <c r="K5" s="26" t="n"/>
      <c r="L5" s="26" t="inlineStr">
        <is>
          <t>NO</t>
        </is>
      </c>
      <c r="M5" s="0" t="n">
        <v>3</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HA_WICK_QUALITY_TF</t>
        </is>
      </c>
      <c r="B6" s="38" t="inlineStr">
        <is>
          <t>4h</t>
        </is>
      </c>
      <c r="C6" s="38" t="n"/>
      <c r="D6" s="38" t="inlineStr">
        <is>
          <t>ENTRY, GLOBAL_CHECK, STOCKS_EXIT</t>
        </is>
      </c>
      <c r="E6" s="38" t="n"/>
      <c r="F6" s="26" t="n"/>
      <c r="G6" s="38">
        <f>IFERROR(VLOOKUP($A137&amp;"_"&amp;$B137,Results_Deltas!$A$2:$P$15000,5,FALSE),"")</f>
        <v/>
      </c>
      <c r="H6" s="38" t="inlineStr">
        <is>
          <t>Blanket (page end)</t>
        </is>
      </c>
      <c r="I6" s="26" t="n"/>
      <c r="J6" s="26" t="n"/>
      <c r="K6" s="26" t="n"/>
      <c r="L6" s="26" t="inlineStr">
        <is>
          <t>NO</t>
        </is>
      </c>
      <c r="M6" s="0"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9" t="inlineStr">
        <is>
          <t>HTF_TREND_VETO_BYPASS_ENABLED</t>
        </is>
      </c>
      <c r="B7" s="40" t="inlineStr">
        <is>
          <t>True</t>
        </is>
      </c>
      <c r="C7" s="38" t="n"/>
      <c r="D7" s="38" t="inlineStr">
        <is>
          <t>GLOBAL_CHECK, STOCKS_EXIT</t>
        </is>
      </c>
      <c r="E7" s="38" t="n"/>
      <c r="F7" s="26" t="n"/>
      <c r="G7" s="38">
        <f>IFERROR(VLOOKUP($A158&amp;"_"&amp;$B158,Results_Deltas!$A$2:$P$15000,5,FALSE),"")</f>
        <v/>
      </c>
      <c r="H7" s="38" t="inlineStr">
        <is>
          <t>Blanket (page end)</t>
        </is>
      </c>
      <c r="I7" s="26" t="n"/>
      <c r="J7" s="26" t="n"/>
      <c r="K7" s="26" t="n"/>
      <c r="L7" s="26" t="inlineStr">
        <is>
          <t>NO</t>
        </is>
      </c>
      <c r="M7" s="0" t="n">
        <v>27</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DELTA_REENTRY_FILTER_ENABLED</t>
        </is>
      </c>
      <c r="B3" s="38" t="inlineStr">
        <is>
          <t>True</t>
        </is>
      </c>
      <c r="C3" s="38" t="n"/>
      <c r="D3" s="38" t="inlineStr">
        <is>
          <t>ENTRY, GLOBAL_CHECK, STOCKS_EXIT</t>
        </is>
      </c>
      <c r="E3" s="38" t="n"/>
      <c r="F3" s="26" t="n"/>
      <c r="G3" s="38">
        <f>IFERROR(VLOOKUP($A82&amp;"_"&amp;$B82,Results_Deltas!$A$2:$P$15000,5,FALSE),"")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0.5</t>
        </is>
      </c>
      <c r="C3" s="38" t="n"/>
      <c r="D3" s="38" t="inlineStr">
        <is>
          <t>AUGMENT, ENTRY, EXIT, GLOBAL_CHECK, REDUCE, STOCKS_EXIT</t>
        </is>
      </c>
      <c r="E3" s="38" t="n"/>
      <c r="F3" s="26" t="n"/>
      <c r="G3" s="38">
        <f>IFERROR(VLOOKUP($A153&amp;"_"&amp;$B153,Results_Deltas!$A$2:$P$15000,5,FALSE),"")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COOLDOWN_LOCKS_FILTER_TF</t>
        </is>
      </c>
      <c r="B4" s="38" t="inlineStr">
        <is>
          <t>OFF</t>
        </is>
      </c>
      <c r="C4" s="38" t="n"/>
      <c r="D4" s="38" t="inlineStr">
        <is>
          <t>GLOBAL_CHECK</t>
        </is>
      </c>
      <c r="E4" s="38" t="n"/>
      <c r="F4" s="26" t="n"/>
      <c r="G4" s="38">
        <f>IFERROR(VLOOKUP($A156&amp;"_"&amp;$B156,Results_Deltas!$A$2:$P$15000,5,FALSE),"")</f>
        <v/>
      </c>
      <c r="H4" s="38" t="inlineStr">
        <is>
          <t>Blanket (page end)</t>
        </is>
      </c>
      <c r="I4" s="26" t="n"/>
      <c r="J4" s="26" t="n"/>
      <c r="K4" s="26" t="n"/>
      <c r="L4" s="26" t="inlineStr">
        <is>
          <t>NO</t>
        </is>
      </c>
      <c r="M4" s="74" t="n">
        <v>3</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DUP_GUARD_FILTER_TF</t>
        </is>
      </c>
      <c r="B5" s="38" t="inlineStr">
        <is>
          <t>D</t>
        </is>
      </c>
      <c r="C5" s="38" t="n"/>
      <c r="D5" s="38" t="inlineStr">
        <is>
          <t>GLOBAL_CHECK</t>
        </is>
      </c>
      <c r="E5" s="38" t="n"/>
      <c r="F5" s="26" t="n"/>
      <c r="G5" s="38">
        <f>IFERROR(VLOOKUP($A174&amp;"_"&amp;$B174,Results_Deltas!$A$2:$P$15000,5,FALSE),"")</f>
        <v/>
      </c>
      <c r="H5" s="38" t="inlineStr">
        <is>
          <t>Blanket (page end)</t>
        </is>
      </c>
      <c r="I5" s="26" t="n"/>
      <c r="J5" s="26" t="n"/>
      <c r="K5" s="26" t="n"/>
      <c r="L5" s="26" t="inlineStr">
        <is>
          <t>NO</t>
        </is>
      </c>
      <c r="M5" s="74" t="n">
        <v>3</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EMA_9_21_FILTER_MIN_TFS</t>
        </is>
      </c>
      <c r="B6" s="38" t="inlineStr">
        <is>
          <t>1</t>
        </is>
      </c>
      <c r="C6" s="38" t="n"/>
      <c r="D6" s="38" t="inlineStr">
        <is>
          <t>GLOBAL_CHECK</t>
        </is>
      </c>
      <c r="E6" s="38" t="n"/>
      <c r="F6" s="26" t="n"/>
      <c r="G6" s="38">
        <f>IFERROR(VLOOKUP($A180&amp;"_"&amp;$B180,Results_Deltas!$A$2:$P$15000,5,FALSE),"")</f>
        <v/>
      </c>
      <c r="H6" s="38" t="inlineStr">
        <is>
          <t>Blanket (page end)</t>
        </is>
      </c>
      <c r="I6" s="26" t="n"/>
      <c r="J6" s="26" t="n"/>
      <c r="K6" s="26" t="n"/>
      <c r="L6" s="26" t="inlineStr">
        <is>
          <t>NO</t>
        </is>
      </c>
      <c r="M6" s="74" t="n">
        <v>3</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EXECUTE_NOW_SINGLE_GATE_ENFORCE</t>
        </is>
      </c>
      <c r="B7" s="38" t="inlineStr">
        <is>
          <t>0.0</t>
        </is>
      </c>
      <c r="C7" s="38" t="n"/>
      <c r="D7" s="38" t="inlineStr">
        <is>
          <t>ENTRY, GLOBAL_CHECK, STOCKS_EXIT</t>
        </is>
      </c>
      <c r="E7" s="38" t="n"/>
      <c r="F7" s="26" t="n"/>
      <c r="G7" s="38">
        <f>IFERROR(VLOOKUP($A186&amp;"_"&amp;$B186,Results_Deltas!$A$2:$P$15000,5,FALSE),"")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HLR_TOP_MIN_TFS</t>
        </is>
      </c>
      <c r="B8" s="40" t="inlineStr">
        <is>
          <t>2</t>
        </is>
      </c>
      <c r="C8" s="38" t="n"/>
      <c r="D8" s="38" t="inlineStr">
        <is>
          <t>GLOBAL_CHECK, REENTRY, STOCKS_EXIT</t>
        </is>
      </c>
      <c r="E8" s="38" t="n"/>
      <c r="F8" s="26" t="n"/>
      <c r="G8" s="38">
        <f>IFERROR(VLOOKUP($A232&amp;"_"&amp;$B232,Results_Deltas!$A$2:$P$15000,5,FALSE),"")</f>
        <v/>
      </c>
      <c r="H8" s="38" t="inlineStr">
        <is>
          <t>Blanket (page end)</t>
        </is>
      </c>
      <c r="I8" s="26" t="n"/>
      <c r="J8" s="26" t="n"/>
      <c r="K8" s="26" t="n"/>
      <c r="L8" s="26" t="inlineStr">
        <is>
          <t>NO</t>
        </is>
      </c>
      <c r="M8" s="0"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LR_BAND_LADDER_TF_BOTTOM</t>
        </is>
      </c>
      <c r="B9" s="38" t="inlineStr">
        <is>
          <t>0</t>
        </is>
      </c>
      <c r="C9" s="38" t="n"/>
      <c r="D9" s="38" t="inlineStr">
        <is>
          <t>GLOBAL_CHECK, STOCKS_EXIT</t>
        </is>
      </c>
      <c r="E9" s="38" t="n"/>
      <c r="F9" s="26" t="n"/>
      <c r="G9" s="38">
        <f>IFERROR(VLOOKUP($A260&amp;"_"&amp;$B260,Results_Deltas!$A$2:$P$15000,5,FALSE),"")</f>
        <v/>
      </c>
      <c r="H9" s="38" t="inlineStr">
        <is>
          <t>Blanket (page end)</t>
        </is>
      </c>
      <c r="I9" s="26" t="n"/>
      <c r="J9" s="26" t="n"/>
      <c r="K9" s="26" t="n"/>
      <c r="L9" s="26" t="inlineStr">
        <is>
          <t>NO</t>
        </is>
      </c>
      <c r="M9" s="0" t="n">
        <v>26</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OPEN_RATE_BREAKER_ENABLED</t>
        </is>
      </c>
      <c r="B3" s="26" t="inlineStr">
        <is>
          <t>False</t>
        </is>
      </c>
      <c r="C3" s="26" t="n"/>
      <c r="D3" s="26" t="n"/>
      <c r="E3" s="26" t="n"/>
      <c r="F3" s="26" t="n"/>
      <c r="G3" s="26">
        <f>IFERROR(VLOOKUP($A22&amp;"_"&amp;$B22,Results_Deltas!$A$2:$P$15000,5,FALSE),"")</f>
        <v/>
      </c>
      <c r="H3" s="26">
        <f>IFERROR(VLOOKUP($A22,Results_30d_Deltas!$A$2:$H$5000,7,FALSE)-E21,"")</f>
        <v/>
      </c>
      <c r="I3" s="26">
        <f>IFERROR(VLOOKUP($A22,Results_30d_Deltas!$A$2:$H$5000,6,FALSE),"")</f>
        <v/>
      </c>
      <c r="J3" s="26" t="n"/>
      <c r="K3" s="26" t="n"/>
      <c r="L3" s="26" t="inlineStr">
        <is>
          <t>NO</t>
        </is>
      </c>
      <c r="M3" s="74" t="n">
        <v>26</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6" t="inlineStr">
        <is>
          <t>FIRST_OPEN_THROTTLE_FILTER_TF=OFF</t>
        </is>
      </c>
      <c r="EA3" s="36" t="inlineStr">
        <is>
          <t>FIRST_OPEN_THROTTLE_FILTER_TF=D</t>
        </is>
      </c>
      <c r="EB3" s="36" t="inlineStr">
        <is>
          <t>FIRST_OPEN_THROTTLE_FILTER_TF=4h</t>
        </is>
      </c>
      <c r="EC3" s="36" t="inlineStr">
        <is>
          <t>FIRST_OPEN_THROTTLE_FILTER_TF=1h</t>
        </is>
      </c>
      <c r="ED3" s="36"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72" t="n"/>
      <c r="HG3" s="72" t="n"/>
      <c r="HH3" s="72" t="n"/>
      <c r="HI3" s="72" t="n"/>
      <c r="HJ3" s="72" t="n"/>
      <c r="HK3" s="36" t="inlineStr">
        <is>
          <t>OPEN_INTENT_SIZE_GATES_FILTER_TF=OFF</t>
        </is>
      </c>
      <c r="HL3" s="36" t="inlineStr">
        <is>
          <t>OPEN_INTENT_SIZE_GATES_FILTER_TF=D</t>
        </is>
      </c>
      <c r="HM3" s="36" t="inlineStr">
        <is>
          <t>OPEN_INTENT_SIZE_GATES_FILTER_TF=4h</t>
        </is>
      </c>
      <c r="HN3" s="36" t="inlineStr">
        <is>
          <t>OPEN_INTENT_SIZE_GATES_FILTER_TF=1h</t>
        </is>
      </c>
      <c r="HO3" s="36" t="inlineStr">
        <is>
          <t>OPEN_INTENT_SIZE_GATES_FILTER_TF=15m</t>
        </is>
      </c>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ez_manage.py:5141 top()</t>
        </is>
      </c>
      <c r="IN3" s="26" t="inlineStr">
        <is>
          <t>v12_quick_engine.py:2538 x1</t>
        </is>
      </c>
      <c r="IO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4" t="n">
        <v>27</v>
      </c>
      <c r="N4" s="71" t="n">
        <v>2.309687357550356</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0.5" customHeight="1" s="67">
      <c r="A5" s="27" t="inlineStr">
        <is>
          <t>OPEN_RATE_BREAKER_ENABLED</t>
        </is>
      </c>
      <c r="B5" s="27" t="inlineStr">
        <is>
          <t>True</t>
        </is>
      </c>
      <c r="C5" s="26" t="n"/>
      <c r="D5" s="26" t="n"/>
      <c r="E5" s="26" t="n"/>
      <c r="F5" s="26" t="n"/>
      <c r="G5" s="26">
        <f>IFERROR(VLOOKUP($A23&amp;"_"&amp;$B23,Results_Deltas!$A$2:$P$15000,5,FALSE),"")</f>
        <v/>
      </c>
      <c r="H5" s="26">
        <f>IFERROR(VLOOKUP($A23,Results_30d_Deltas!$A$2:$H$5000,7,FALSE)-E22,"")</f>
        <v/>
      </c>
      <c r="I5" s="26">
        <f>IFERROR(VLOOKUP($A23,Results_30d_Deltas!$A$2:$H$5000,6,FALSE),"")</f>
        <v/>
      </c>
      <c r="J5" s="26" t="n"/>
      <c r="K5" s="26" t="n"/>
      <c r="L5" s="26" t="inlineStr">
        <is>
          <t>YES</t>
        </is>
      </c>
      <c r="M5" s="74" t="n">
        <v>14</v>
      </c>
      <c r="N5" s="71" t="n">
        <v>0</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4" t="inlineStr">
        <is>
          <t>FIRST_OPEN_THROTTLE_FILTER_TF=OFF</t>
        </is>
      </c>
      <c r="EA5" s="34" t="inlineStr">
        <is>
          <t>FIRST_OPEN_THROTTLE_FILTER_TF=D</t>
        </is>
      </c>
      <c r="EB5" s="34" t="inlineStr">
        <is>
          <t>FIRST_OPEN_THROTTLE_FILTER_TF=4h</t>
        </is>
      </c>
      <c r="EC5" s="34" t="inlineStr">
        <is>
          <t>FIRST_OPEN_THROTTLE_FILTER_TF=1h</t>
        </is>
      </c>
      <c r="ED5" s="34" t="inlineStr">
        <is>
          <t>FIRST_OPEN_THROTTLE_FILTER_TF=15m</t>
        </is>
      </c>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4" t="inlineStr">
        <is>
          <t>OPEN_INTENT_SIZE_GATES_FILTER_TF=OFF</t>
        </is>
      </c>
      <c r="HL5" s="34" t="inlineStr">
        <is>
          <t>OPEN_INTENT_SIZE_GATES_FILTER_TF=D</t>
        </is>
      </c>
      <c r="HM5" s="34" t="inlineStr">
        <is>
          <t>OPEN_INTENT_SIZE_GATES_FILTER_TF=4h</t>
        </is>
      </c>
      <c r="HN5" s="34" t="inlineStr">
        <is>
          <t>OPEN_INTENT_SIZE_GATES_FILTER_TF=1h</t>
        </is>
      </c>
      <c r="HO5" s="34" t="inlineStr">
        <is>
          <t>OPEN_INTENT_SIZE_GATES_FILTER_TF=15m</t>
        </is>
      </c>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ez_manage.py:5141 top()</t>
        </is>
      </c>
      <c r="IN5" s="26" t="inlineStr">
        <is>
          <t>v12_quick_engine.py:2538 x1</t>
        </is>
      </c>
      <c r="IO5" s="26" t="n"/>
    </row>
    <row r="6" ht="10.5" customHeight="1" s="67">
      <c r="A6" s="27" t="inlineStr">
        <is>
          <t>UNIVERSAL_NOLOSS_GATE</t>
        </is>
      </c>
      <c r="B6" s="27" t="inlineStr">
        <is>
          <t>False</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YES</t>
        </is>
      </c>
      <c r="M6" s="74" t="n">
        <v>21</v>
      </c>
      <c r="N6" s="71" t="n">
        <v>1.83213227839757</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72" t="n"/>
      <c r="EA6" s="72" t="n"/>
      <c r="EB6" s="72" t="n"/>
      <c r="EC6" s="72" t="n"/>
      <c r="ED6" s="72"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6" t="inlineStr">
        <is>
          <t>NOLOSS_BYPASS_WT5OF5_FILTER_TF=OFF</t>
        </is>
      </c>
      <c r="HG6" s="36" t="inlineStr">
        <is>
          <t>NOLOSS_BYPASS_WT5OF5_FILTER_TF=D</t>
        </is>
      </c>
      <c r="HH6" s="36" t="inlineStr">
        <is>
          <t>NOLOSS_BYPASS_WT5OF5_FILTER_TF=4h</t>
        </is>
      </c>
      <c r="HI6" s="36" t="inlineStr">
        <is>
          <t>NOLOSS_BYPASS_WT5OF5_FILTER_TF=1h</t>
        </is>
      </c>
      <c r="HJ6" s="36" t="inlineStr">
        <is>
          <t>NOLOSS_BYPASS_WT5OF5_FILTER_TF=15m</t>
        </is>
      </c>
      <c r="HK6" s="72" t="n"/>
      <c r="HL6" s="72" t="n"/>
      <c r="HM6" s="72" t="n"/>
      <c r="HN6" s="72" t="n"/>
      <c r="HO6" s="72"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ez_manage.py:4233 top()</t>
        </is>
      </c>
      <c r="IN6" s="26" t="inlineStr">
        <is>
          <t>v12_quick_engine.py:837 x18</t>
        </is>
      </c>
      <c r="IO6" s="26" t="n"/>
    </row>
    <row r="7" ht="15.75" customHeight="1" s="67">
      <c r="A7" s="40" t="inlineStr">
        <is>
          <t>UNIVERSAL_NOLOSS_GATE</t>
        </is>
      </c>
      <c r="B7" s="40" t="inlineStr">
        <is>
          <t>False</t>
        </is>
      </c>
      <c r="C7" s="38" t="n"/>
      <c r="D7" s="38" t="n"/>
      <c r="E7" s="38" t="n"/>
      <c r="F7" s="26" t="n"/>
      <c r="G7" s="38">
        <f>IFERROR(VLOOKUP($A213&amp;"_"&amp;$B213,Results_Deltas!$A$2:$P$15000,5,FALSE),"")</f>
        <v/>
      </c>
      <c r="H7" s="38">
        <f>IFERROR(VLOOKUP($A214,Results_30d_Deltas!$A$2:$H$5000,7,FALSE)-E3,"")</f>
        <v/>
      </c>
      <c r="I7" s="26">
        <f>IFERROR(VLOOKUP($A214,Results_30d_Deltas!$A$2:$H$5000,6,FALSE),"")</f>
        <v/>
      </c>
      <c r="J7" s="26" t="n"/>
      <c r="K7" s="26" t="n"/>
      <c r="L7" s="26" t="inlineStr">
        <is>
          <t>YES</t>
        </is>
      </c>
      <c r="M7" s="74" t="n">
        <v>21</v>
      </c>
      <c r="N7" s="71" t="n">
        <v>1.83213227839757</v>
      </c>
      <c r="O7" s="32" t="n"/>
      <c r="P7" s="32" t="n"/>
      <c r="Q7" s="32" t="n"/>
      <c r="R7" s="32" t="n"/>
      <c r="S7" s="32" t="n"/>
      <c r="T7" s="32" t="n"/>
      <c r="U7" s="32" t="n"/>
      <c r="V7" s="32" t="n"/>
      <c r="W7" s="32" t="n"/>
      <c r="X7" s="32" t="n"/>
      <c r="Y7" s="32" t="n"/>
      <c r="Z7" s="32" t="n"/>
      <c r="AA7" s="32" t="n"/>
      <c r="AB7" s="32" t="n"/>
      <c r="AC7" s="32" t="n"/>
      <c r="AD7" s="32" t="n"/>
      <c r="AE7" s="32" t="n"/>
      <c r="AF7" s="32" t="n"/>
      <c r="AG7" s="32" t="n"/>
      <c r="AH7" s="32" t="n"/>
      <c r="AI7" s="32" t="n"/>
      <c r="AJ7" s="32" t="n"/>
      <c r="AK7" s="32" t="n"/>
      <c r="AL7" s="32" t="n"/>
      <c r="AM7" s="32" t="n"/>
      <c r="AN7" s="32" t="n"/>
      <c r="AO7" s="32" t="n"/>
      <c r="AP7" s="32" t="n"/>
      <c r="AQ7" s="32" t="n"/>
      <c r="AR7" s="32" t="n"/>
      <c r="AS7" s="32" t="n"/>
      <c r="AT7" s="32" t="n"/>
      <c r="AU7" s="32" t="n"/>
      <c r="AV7" s="32" t="n"/>
      <c r="AW7" s="32" t="n"/>
      <c r="AX7" s="32" t="n"/>
      <c r="AY7" s="32" t="n"/>
      <c r="AZ7" s="32" t="n"/>
      <c r="BA7" s="32" t="n"/>
      <c r="BB7" s="32" t="n"/>
      <c r="BC7" s="32" t="n"/>
      <c r="BD7" s="32" t="n"/>
      <c r="BE7" s="32" t="n"/>
      <c r="BF7" s="32" t="n"/>
      <c r="BG7" s="32" t="n"/>
      <c r="BH7" s="32" t="n"/>
      <c r="BI7" s="32" t="n"/>
      <c r="BJ7" s="32" t="n"/>
      <c r="BK7" s="32" t="n"/>
      <c r="BL7" s="32" t="n"/>
      <c r="BM7" s="32" t="n"/>
      <c r="BN7" s="32" t="n"/>
      <c r="BO7" s="32" t="n"/>
      <c r="BP7" s="32" t="n"/>
      <c r="BQ7" s="32" t="n"/>
      <c r="BR7" s="32" t="n"/>
      <c r="BS7" s="32" t="n"/>
      <c r="BT7" s="32" t="n"/>
      <c r="BU7" s="32" t="n"/>
      <c r="BV7" s="32" t="n"/>
      <c r="BW7" s="32" t="n"/>
      <c r="BX7" s="32" t="n"/>
      <c r="BY7" s="32" t="n"/>
      <c r="BZ7" s="32" t="n"/>
      <c r="CA7" s="32" t="n"/>
      <c r="CB7" s="32" t="n"/>
      <c r="CC7" s="32" t="n"/>
      <c r="CD7" s="32" t="n"/>
      <c r="CE7" s="32" t="n"/>
      <c r="CF7" s="32" t="n"/>
      <c r="CG7" s="32" t="n"/>
      <c r="CH7" s="32" t="n"/>
      <c r="CI7" s="32" t="n"/>
      <c r="CJ7" s="32" t="n"/>
      <c r="CK7" s="32" t="n"/>
      <c r="CL7" s="32" t="n"/>
      <c r="CM7" s="32" t="n"/>
      <c r="CN7" s="32" t="n"/>
      <c r="CO7" s="32" t="n"/>
      <c r="CP7" s="32" t="n"/>
      <c r="CQ7" s="32" t="n"/>
      <c r="CR7" s="32" t="n"/>
      <c r="CS7" s="32" t="n"/>
      <c r="CT7" s="32" t="n"/>
      <c r="CU7" s="32" t="n"/>
      <c r="CV7" s="32" t="n"/>
      <c r="CW7" s="32" t="n"/>
      <c r="CX7" s="32" t="n"/>
      <c r="CY7" s="32" t="n"/>
      <c r="CZ7" s="32" t="n"/>
      <c r="DA7" s="32" t="n"/>
      <c r="DB7" s="32" t="n"/>
      <c r="DC7" s="32" t="n"/>
      <c r="DD7" s="32" t="n"/>
      <c r="DE7" s="32" t="n"/>
      <c r="DF7" s="32" t="n"/>
      <c r="DG7" s="32" t="n"/>
      <c r="DH7" s="32" t="n"/>
      <c r="DI7" s="32" t="n"/>
      <c r="DJ7" s="32" t="n"/>
      <c r="DK7" s="32" t="n"/>
      <c r="DL7" s="32" t="n"/>
      <c r="DM7" s="32" t="n"/>
      <c r="DN7" s="32" t="n"/>
      <c r="DO7" s="32" t="n"/>
      <c r="DP7" s="32" t="n"/>
      <c r="DQ7" s="32" t="n"/>
      <c r="DR7" s="32" t="n"/>
      <c r="DS7" s="32" t="n"/>
      <c r="DT7" s="32" t="n"/>
      <c r="DU7" s="32" t="n"/>
      <c r="DV7" s="32" t="n"/>
      <c r="DW7" s="32" t="n"/>
      <c r="DX7" s="32" t="n"/>
      <c r="DY7" s="32" t="n"/>
      <c r="DZ7" s="32" t="n"/>
      <c r="EA7" s="32" t="n"/>
      <c r="EB7" s="32" t="n"/>
      <c r="EC7" s="32" t="n"/>
      <c r="ED7" s="32" t="n"/>
      <c r="EE7" s="32" t="n"/>
      <c r="EF7" s="32" t="n"/>
      <c r="EG7" s="32" t="n"/>
      <c r="EH7" s="32" t="n"/>
      <c r="EI7" s="32" t="n"/>
      <c r="EJ7" s="32" t="n"/>
      <c r="EK7" s="32" t="n"/>
      <c r="EL7" s="32" t="n"/>
      <c r="EM7" s="32" t="n"/>
      <c r="EN7" s="32" t="n"/>
      <c r="EO7" s="32" t="n"/>
      <c r="EP7" s="32" t="n"/>
      <c r="EQ7" s="32" t="n"/>
      <c r="ER7" s="32" t="n"/>
      <c r="ES7" s="32" t="n"/>
      <c r="ET7" s="32" t="n"/>
      <c r="EU7" s="32" t="n"/>
      <c r="EV7" s="32" t="n"/>
      <c r="EW7" s="32" t="n"/>
      <c r="EX7" s="32" t="n"/>
      <c r="EY7" s="32" t="n"/>
      <c r="EZ7" s="32" t="n"/>
      <c r="FA7" s="32" t="n"/>
      <c r="FB7" s="32" t="n"/>
      <c r="FC7" s="32" t="n"/>
      <c r="FD7" s="32" t="n"/>
      <c r="FE7" s="32" t="n"/>
      <c r="FF7" s="32" t="n"/>
      <c r="FG7" s="32" t="n"/>
      <c r="FH7" s="32" t="n"/>
      <c r="FI7" s="32" t="n"/>
      <c r="FJ7" s="32" t="n"/>
      <c r="FK7" s="32" t="n"/>
      <c r="FL7" s="32" t="n"/>
      <c r="FM7" s="32" t="n"/>
      <c r="FN7" s="32" t="n"/>
      <c r="FO7" s="32" t="n"/>
      <c r="FP7" s="32" t="n"/>
      <c r="FQ7" s="32" t="n"/>
      <c r="FR7" s="32" t="n"/>
      <c r="FS7" s="32" t="n"/>
      <c r="FT7" s="32" t="n"/>
      <c r="FU7" s="32" t="n"/>
      <c r="FV7" s="32" t="n"/>
      <c r="FW7" s="32" t="n"/>
      <c r="FX7" s="32" t="n"/>
      <c r="FY7" s="32" t="n"/>
      <c r="FZ7" s="32" t="n"/>
      <c r="GA7" s="32" t="n"/>
      <c r="GB7" s="32" t="n"/>
      <c r="GC7" s="32" t="n"/>
      <c r="GD7" s="32" t="n"/>
      <c r="GE7" s="32" t="n"/>
      <c r="GF7" s="32" t="n"/>
      <c r="GG7" s="32" t="n"/>
      <c r="GH7" s="32" t="n"/>
      <c r="GI7" s="32" t="n"/>
      <c r="GJ7" s="32" t="n"/>
      <c r="GK7" s="32" t="n"/>
      <c r="GL7" s="32" t="n"/>
      <c r="GM7" s="32" t="n"/>
      <c r="GN7" s="32" t="n"/>
      <c r="GO7" s="32" t="n"/>
      <c r="GP7" s="32" t="n"/>
      <c r="GQ7" s="32" t="n"/>
      <c r="GR7" s="32" t="n"/>
      <c r="GS7" s="32" t="n"/>
      <c r="GT7" s="32" t="n"/>
      <c r="GU7" s="32" t="n"/>
      <c r="GV7" s="32" t="n"/>
      <c r="GW7" s="32" t="n"/>
      <c r="GX7" s="32" t="n"/>
      <c r="GY7" s="32" t="n"/>
      <c r="GZ7" s="32" t="n"/>
      <c r="HA7" s="32" t="n"/>
      <c r="HB7" s="32" t="n"/>
      <c r="HC7" s="32" t="n"/>
      <c r="HD7" s="32" t="n"/>
      <c r="HE7" s="32" t="n"/>
      <c r="HF7" s="75" t="inlineStr">
        <is>
          <t>NOLOSS_BYPASS_WT5OF5_FILTER_TF=OFF</t>
        </is>
      </c>
      <c r="HG7" s="75" t="inlineStr">
        <is>
          <t>NOLOSS_BYPASS_WT5OF5_FILTER_TF=D</t>
        </is>
      </c>
      <c r="HH7" s="75" t="inlineStr">
        <is>
          <t>NOLOSS_BYPASS_WT5OF5_FILTER_TF=4h</t>
        </is>
      </c>
      <c r="HI7" s="75" t="inlineStr">
        <is>
          <t>NOLOSS_BYPASS_WT5OF5_FILTER_TF=1h</t>
        </is>
      </c>
      <c r="HJ7" s="75" t="inlineStr">
        <is>
          <t>NOLOSS_BYPASS_WT5OF5_FILTER_TF=15m</t>
        </is>
      </c>
      <c r="HK7" s="32" t="n"/>
      <c r="HL7" s="32" t="n"/>
      <c r="HM7" s="32" t="n"/>
      <c r="HN7" s="32" t="n"/>
      <c r="HO7" s="32" t="n"/>
      <c r="HP7" s="32" t="n"/>
      <c r="HQ7" s="32" t="n"/>
      <c r="HR7" s="32" t="n"/>
      <c r="HS7" s="32" t="n"/>
      <c r="HT7" s="32" t="n"/>
      <c r="HU7" s="32" t="n"/>
      <c r="HV7" s="32" t="n"/>
      <c r="HW7" s="32" t="n"/>
      <c r="HX7" s="32" t="n"/>
      <c r="HY7" s="32" t="n"/>
      <c r="HZ7" s="32" t="n"/>
      <c r="IA7" s="32" t="n"/>
      <c r="IB7" s="32" t="n"/>
      <c r="IC7" s="32" t="n"/>
      <c r="ID7" s="32" t="n"/>
      <c r="IE7" s="32" t="n"/>
      <c r="IF7" s="32" t="n"/>
      <c r="IG7" s="32" t="n"/>
      <c r="IH7" s="32" t="n"/>
      <c r="II7" s="32" t="n"/>
      <c r="IJ7" s="32" t="n"/>
      <c r="IK7" s="32" t="n"/>
      <c r="IL7" s="26" t="n"/>
      <c r="IM7" s="26" t="inlineStr">
        <is>
          <t>ez_manage.py:4233 top()</t>
        </is>
      </c>
      <c r="IN7" s="26" t="inlineStr">
        <is>
          <t>v12_quick_engine.py:837 x18</t>
        </is>
      </c>
      <c r="IO7" s="26" t="n"/>
    </row>
    <row r="8" ht="10.5" customHeight="1" s="67">
      <c r="A8" s="37" t="inlineStr">
        <is>
          <t>BANDAID_OFF_LOSER_RECOVER_PCT</t>
        </is>
      </c>
      <c r="B8" s="38" t="inlineStr">
        <is>
          <t>0.5</t>
        </is>
      </c>
      <c r="C8" s="38" t="n"/>
      <c r="D8" s="38" t="inlineStr">
        <is>
          <t>AUGMENT, ENTRY, EXIT, GLOBAL_CHECK, REDUCE, STOCKS_EXIT</t>
        </is>
      </c>
      <c r="E8" s="38" t="n"/>
      <c r="F8" s="26" t="n"/>
      <c r="G8" s="38">
        <f>IFERROR(VLOOKUP($A51&amp;"_"&amp;$B51,Results_Deltas!$A$2:$P$15000,5,FALSE),"")</f>
        <v/>
      </c>
      <c r="H8" s="38" t="inlineStr">
        <is>
          <t>Blanket (page end)</t>
        </is>
      </c>
      <c r="I8" s="26" t="n"/>
      <c r="J8" s="26" t="n"/>
      <c r="K8" s="26" t="n"/>
      <c r="L8" s="26" t="inlineStr">
        <is>
          <t>YES</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DC_MOMENT_STRONG_THRESHOLD</t>
        </is>
      </c>
      <c r="B9" s="38" t="inlineStr">
        <is>
          <t>50</t>
        </is>
      </c>
      <c r="C9" s="38" t="n"/>
      <c r="D9" s="38" t="inlineStr">
        <is>
          <t>ENTRY, GLOBAL_CHECK, STOCKS_EXIT</t>
        </is>
      </c>
      <c r="E9" s="38" t="n"/>
      <c r="F9" s="26" t="n"/>
      <c r="G9" s="38">
        <f>IFERROR(VLOOKUP($A64&amp;"_"&amp;$B64,Results_Deltas!$A$2:$P$15000,5,FALSE),"")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9" t="inlineStr">
        <is>
          <t>DELTA_REENTRY_FILTER_ENABLED</t>
        </is>
      </c>
      <c r="B10" s="40" t="inlineStr">
        <is>
          <t>False</t>
        </is>
      </c>
      <c r="C10" s="38" t="n"/>
      <c r="D10" s="38" t="inlineStr">
        <is>
          <t>ENTRY, GLOBAL_CHECK, STOCKS_EXIT</t>
        </is>
      </c>
      <c r="E10" s="38" t="n"/>
      <c r="F10" s="26" t="n"/>
      <c r="G10" s="38">
        <f>IFERROR(VLOOKUP($A69&amp;"_"&amp;$B69,Results_Deltas!$A$2:$P$15000,5,FALSE),"")</f>
        <v/>
      </c>
      <c r="H10" s="38" t="inlineStr">
        <is>
          <t>Blanket (page end)</t>
        </is>
      </c>
      <c r="I10" s="26" t="n"/>
      <c r="J10" s="26" t="n"/>
      <c r="K10" s="26" t="n"/>
      <c r="L10" s="26" t="inlineStr">
        <is>
          <t>NO</t>
        </is>
      </c>
      <c r="M10" s="74" t="n">
        <v>9</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DELTA_REENTRY_FILTER_ENABLED</t>
        </is>
      </c>
      <c r="B11" s="38" t="inlineStr">
        <is>
          <t>True</t>
        </is>
      </c>
      <c r="C11" s="38" t="n"/>
      <c r="D11" s="38" t="inlineStr">
        <is>
          <t>ENTRY, GLOBAL_CHECK, STOCKS_EXIT</t>
        </is>
      </c>
      <c r="E11" s="38" t="n"/>
      <c r="F11" s="26" t="n"/>
      <c r="G11" s="38">
        <f>IFERROR(VLOOKUP($A70&amp;"_"&amp;$B70,Results_Deltas!$A$2:$P$15000,5,FALSE),"")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DUP_GUARD_FILTER_TF</t>
        </is>
      </c>
      <c r="B12" s="38" t="inlineStr">
        <is>
          <t>4h</t>
        </is>
      </c>
      <c r="C12" s="38" t="n"/>
      <c r="D12" s="38" t="inlineStr">
        <is>
          <t>GLOBAL_CHECK</t>
        </is>
      </c>
      <c r="E12" s="38" t="n"/>
      <c r="F12" s="26" t="n"/>
      <c r="G12" s="38">
        <f>IFERROR(VLOOKUP($A73&amp;"_"&amp;$B73,Results_Deltas!$A$2:$P$15000,5,FALSE),"")</f>
        <v/>
      </c>
      <c r="H12" s="38" t="inlineStr">
        <is>
          <t>Blanket (page end)</t>
        </is>
      </c>
      <c r="I12" s="26" t="n"/>
      <c r="J12" s="26" t="n"/>
      <c r="K12" s="26" t="n"/>
      <c r="L12" s="26" t="inlineStr">
        <is>
          <t>YES</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EMA_BLANKET_FILTER_ENABLED</t>
        </is>
      </c>
      <c r="B13" s="40" t="inlineStr">
        <is>
          <t>True</t>
        </is>
      </c>
      <c r="C13" s="38" t="n"/>
      <c r="D13" s="38" t="inlineStr">
        <is>
          <t>GLOBAL_CHECK</t>
        </is>
      </c>
      <c r="E13" s="38" t="n"/>
      <c r="F13" s="26" t="n"/>
      <c r="G13" s="38">
        <f>IFERROR(VLOOKUP($A80&amp;"_"&amp;$B80,Results_Deltas!$A$2:$P$15000,5,FALSE),"")</f>
        <v/>
      </c>
      <c r="H13" s="38" t="inlineStr">
        <is>
          <t>Blanket (page end)</t>
        </is>
      </c>
      <c r="I13" s="26" t="n"/>
      <c r="J13" s="26" t="n"/>
      <c r="K13" s="26" t="n"/>
      <c r="L13" s="26" t="inlineStr">
        <is>
          <t>NO</t>
        </is>
      </c>
      <c r="M13" s="74"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FG_GREED_THRESHOLD</t>
        </is>
      </c>
      <c r="B14" s="38" t="inlineStr">
        <is>
          <t>56.25</t>
        </is>
      </c>
      <c r="C14" s="38" t="n"/>
      <c r="D14" s="38" t="inlineStr">
        <is>
          <t>GLOBAL_CHECK, STOCKS_EXIT</t>
        </is>
      </c>
      <c r="E14" s="38" t="n"/>
      <c r="F14" s="26" t="n"/>
      <c r="G14" s="38">
        <f>IFERROR(VLOOKUP($A94&amp;"_"&amp;$B94,Results_Deltas!$A$2:$P$15000,5,FALSE),"")</f>
        <v/>
      </c>
      <c r="H14" s="38" t="inlineStr">
        <is>
          <t>Blanket (page end)</t>
        </is>
      </c>
      <c r="I14" s="26" t="n"/>
      <c r="J14" s="26" t="n"/>
      <c r="K14" s="26" t="n"/>
      <c r="L14" s="26" t="inlineStr">
        <is>
          <t>NO</t>
        </is>
      </c>
      <c r="M14" s="0"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LH_HL_FILTER_MODE</t>
        </is>
      </c>
      <c r="B15" s="38" t="inlineStr">
        <is>
          <t>STRICT_2BAR_ALT</t>
        </is>
      </c>
      <c r="C15" s="38" t="n"/>
      <c r="D15" s="38" t="inlineStr">
        <is>
          <t>ENTRY, GLOBAL_CHECK, STOCKS_EXIT</t>
        </is>
      </c>
      <c r="E15" s="38" t="n"/>
      <c r="F15" s="26" t="n"/>
      <c r="G15" s="38">
        <f>IFERROR(VLOOKUP($A151&amp;"_"&amp;$B151,Results_Deltas!$A$2:$P$15000,5,FALSE),"")</f>
        <v/>
      </c>
      <c r="H15" s="38" t="inlineStr">
        <is>
          <t>Blanket (page end)</t>
        </is>
      </c>
      <c r="I15" s="26" t="n"/>
      <c r="J15" s="26" t="n"/>
      <c r="K15" s="26" t="n"/>
      <c r="L15" s="26" t="inlineStr">
        <is>
          <t>NO</t>
        </is>
      </c>
      <c r="M15" s="0"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MANDATORY_REENTRY_WT_FILTER_MIN_TFS</t>
        </is>
      </c>
      <c r="B16" s="38" t="inlineStr">
        <is>
          <t>3</t>
        </is>
      </c>
      <c r="C16" s="38" t="n"/>
      <c r="D16" s="38" t="inlineStr">
        <is>
          <t>GLOBAL_CHECK, STOCKS_EXIT</t>
        </is>
      </c>
      <c r="E16" s="38" t="n"/>
      <c r="F16" s="26" t="n"/>
      <c r="G16" s="38">
        <f>IFERROR(VLOOKUP($A163&amp;"_"&amp;$B163,Results_Deltas!$A$2:$P$15000,5,FALSE),"")</f>
        <v/>
      </c>
      <c r="H16" s="38" t="inlineStr">
        <is>
          <t>Blanket (page end)</t>
        </is>
      </c>
      <c r="I16" s="26" t="n"/>
      <c r="J16" s="26" t="n"/>
      <c r="K16" s="26" t="n"/>
      <c r="L16" s="26" t="inlineStr">
        <is>
          <t>NO</t>
        </is>
      </c>
      <c r="M16" s="0" t="n">
        <v>26</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MANDATORY_REENTRY_WT_FILTER_MIN_TFS</t>
        </is>
      </c>
      <c r="B17" s="38" t="inlineStr">
        <is>
          <t>2</t>
        </is>
      </c>
      <c r="C17" s="38" t="n"/>
      <c r="D17" s="38" t="inlineStr">
        <is>
          <t>GLOBAL_CHECK, STOCKS_EXIT</t>
        </is>
      </c>
      <c r="E17" s="38" t="n"/>
      <c r="F17" s="26" t="n"/>
      <c r="G17" s="38">
        <f>IFERROR(VLOOKUP($A164&amp;"_"&amp;$B164,Results_Deltas!$A$2:$P$15000,5,FALSE),"")</f>
        <v/>
      </c>
      <c r="H17" s="38" t="inlineStr">
        <is>
          <t>Blanket (page end)</t>
        </is>
      </c>
      <c r="I17" s="26" t="n"/>
      <c r="J17" s="26" t="n"/>
      <c r="K17" s="26" t="n"/>
      <c r="L17" s="26" t="inlineStr">
        <is>
          <t>NO</t>
        </is>
      </c>
      <c r="M17" s="0" t="n">
        <v>26</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MANDATORY_REENTRY_WT_FILTER_VELOCITY_RATIO</t>
        </is>
      </c>
      <c r="B18" s="40" t="inlineStr">
        <is>
          <t>0.90</t>
        </is>
      </c>
      <c r="C18" s="38" t="n"/>
      <c r="D18" s="38" t="inlineStr">
        <is>
          <t>GLOBAL_CHECK, STOCKS_EXIT</t>
        </is>
      </c>
      <c r="E18" s="38" t="n"/>
      <c r="F18" s="26" t="n"/>
      <c r="G18" s="38">
        <f>IFERROR(VLOOKUP($A169&amp;"_"&amp;$B169,Results_Deltas!$A$2:$P$15000,5,FALSE),"")</f>
        <v/>
      </c>
      <c r="H18" s="38" t="inlineStr">
        <is>
          <t>Blanket (page end)</t>
        </is>
      </c>
      <c r="I18" s="26" t="n"/>
      <c r="J18" s="26" t="n"/>
      <c r="K18" s="26" t="n"/>
      <c r="L18" s="26" t="inlineStr">
        <is>
          <t>YES</t>
        </is>
      </c>
      <c r="M18" s="0" t="n">
        <v>26</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NEWBORN_LOSS_KILL_GAIN_THRESHOLD_PCT</t>
        </is>
      </c>
      <c r="B19" s="40" t="inlineStr">
        <is>
          <t>0</t>
        </is>
      </c>
      <c r="C19" s="38" t="n"/>
      <c r="D19" s="38" t="inlineStr">
        <is>
          <t>AUGMENT, EXIT, GLOBAL_CHECK, REDUCE, STOCKS_EXIT</t>
        </is>
      </c>
      <c r="E19" s="38" t="n"/>
      <c r="F19" s="26" t="n"/>
      <c r="G19" s="38">
        <f>IFERROR(VLOOKUP($A193&amp;"_"&amp;$B193,Results_Deltas!$A$2:$P$15000,5,FALSE),"")</f>
        <v/>
      </c>
      <c r="H19" s="38" t="inlineStr">
        <is>
          <t>Blanket (page end)</t>
        </is>
      </c>
      <c r="I19" s="26" t="n"/>
      <c r="J19" s="26" t="n"/>
      <c r="K19" s="26" t="n"/>
      <c r="L19" s="26" t="inlineStr">
        <is>
          <t>NO</t>
        </is>
      </c>
      <c r="M19" s="0" t="n">
        <v>24</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153"/>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54" t="n">
        <v>6</v>
      </c>
      <c r="B2" s="55" t="inlineStr">
        <is>
          <t>BB_PULLBACK_GATE_FILTER_TF</t>
        </is>
      </c>
      <c r="C2" s="53" t="inlineStr">
        <is>
          <t>OFF</t>
        </is>
      </c>
      <c r="D2" s="56" t="inlineStr">
        <is>
          <t>Pullback filter — blocks pullback entries unless BB position confirms oversold/bounce on FILTER_TF. | Live read: `_EXHAUSTIVE_FILTER_LIST_LIVE = ['ADAPTIVE_REGIME_DC_BREAKDOWN_THRESHOLD', 'ADAPT`</t>
        </is>
      </c>
      <c r="E2" s="56" t="inlineStr">
        <is>
          <t>GLOBAL_CHECK</t>
        </is>
      </c>
      <c r="F2" s="54" t="inlineStr">
        <is>
          <t>GLOBAL_CHECK</t>
        </is>
      </c>
      <c r="G2" s="56" t="inlineStr">
        <is>
          <t>BB pullback entries</t>
        </is>
      </c>
      <c r="H2" s="54" t="inlineStr">
        <is>
          <t>SPECIFIC — only gated switches</t>
        </is>
      </c>
      <c r="I2" s="54" t="inlineStr">
        <is>
          <t>LIVE — wired</t>
        </is>
      </c>
      <c r="J2" s="54" t="n"/>
      <c r="K2" s="51" t="inlineStr">
        <is>
          <t>1/4</t>
        </is>
      </c>
      <c r="L2" s="51" t="inlineStr">
        <is>
          <t>OFF, 15m, 1h, 4h, D (5 options)</t>
        </is>
      </c>
      <c r="M2" s="51" t="inlineStr">
        <is>
          <t>15m</t>
        </is>
      </c>
      <c r="N2" s="51" t="inlineStr">
        <is>
          <t>TF selector</t>
        </is>
      </c>
      <c r="O2" s="51" t="inlineStr">
        <is>
          <t>BB_PULLBACK_GATE_FILTER_TF</t>
        </is>
      </c>
      <c r="P2" s="51" t="inlineStr">
        <is>
          <t>getattr(cfg,"BB_PULLBACK_GATE_FILTER_TF")</t>
        </is>
      </c>
      <c r="Q2" s="35" t="inlineStr">
        <is>
          <t>NO</t>
        </is>
      </c>
    </row>
    <row r="3">
      <c r="A3" s="54" t="n">
        <v>6</v>
      </c>
      <c r="B3" s="55" t="inlineStr">
        <is>
          <t>BB_PULLBACK_GATE_FILTER_TF</t>
        </is>
      </c>
      <c r="C3" s="53" t="inlineStr">
        <is>
          <t>D</t>
        </is>
      </c>
      <c r="D3" s="56" t="inlineStr">
        <is>
          <t>Pullback filter — blocks pullback entries unless BB position confirms oversold/bounce on FILTER_TF. | Live read: `_EXHAUSTIVE_FILTER_LIST_LIVE = ['ADAPTIVE_REGIME_DC_BREAKDOWN_THRESHOLD', 'ADAPT`</t>
        </is>
      </c>
      <c r="E3" s="56" t="inlineStr">
        <is>
          <t>GLOBAL_CHECK</t>
        </is>
      </c>
      <c r="F3" s="54" t="inlineStr">
        <is>
          <t>GLOBAL_CHECK</t>
        </is>
      </c>
      <c r="G3" s="56" t="inlineStr">
        <is>
          <t>BB pullback entries</t>
        </is>
      </c>
      <c r="H3" s="54" t="inlineStr">
        <is>
          <t>SPECIFIC — only gated switches</t>
        </is>
      </c>
      <c r="I3" s="54" t="inlineStr">
        <is>
          <t>LIVE — wired</t>
        </is>
      </c>
      <c r="J3" s="54" t="n"/>
      <c r="K3" s="51" t="inlineStr">
        <is>
          <t>1/4</t>
        </is>
      </c>
      <c r="L3" s="51" t="inlineStr">
        <is>
          <t>OFF, 15m, 1h, 4h, D (5 options)</t>
        </is>
      </c>
      <c r="M3" s="51" t="inlineStr">
        <is>
          <t>15m</t>
        </is>
      </c>
      <c r="N3" s="51" t="inlineStr">
        <is>
          <t>TF selector</t>
        </is>
      </c>
      <c r="O3" s="51" t="inlineStr">
        <is>
          <t>BB_PULLBACK_GATE_FILTER_TF</t>
        </is>
      </c>
      <c r="P3" s="51" t="inlineStr">
        <is>
          <t>getattr(cfg,"BB_PULLBACK_GATE_FILTER_TF")</t>
        </is>
      </c>
      <c r="Q3" s="35" t="inlineStr">
        <is>
          <t>NO</t>
        </is>
      </c>
    </row>
    <row r="4">
      <c r="A4" s="54" t="n">
        <v>6</v>
      </c>
      <c r="B4" s="55" t="inlineStr">
        <is>
          <t>BB_PULLBACK_GATE_FILTER_TF</t>
        </is>
      </c>
      <c r="C4" s="53" t="inlineStr">
        <is>
          <t>4h</t>
        </is>
      </c>
      <c r="D4" s="56" t="inlineStr">
        <is>
          <t>Pullback filter — blocks pullback entries unless BB position confirms oversold/bounce on FILTER_TF. | Live read: `_EXHAUSTIVE_FILTER_LIST_LIVE = ['ADAPTIVE_REGIME_DC_BREAKDOWN_THRESHOLD', 'ADAPT`</t>
        </is>
      </c>
      <c r="E4" s="56" t="inlineStr">
        <is>
          <t>GLOBAL_CHECK</t>
        </is>
      </c>
      <c r="F4" s="54" t="inlineStr">
        <is>
          <t>GLOBAL_CHECK</t>
        </is>
      </c>
      <c r="G4" s="56" t="inlineStr">
        <is>
          <t>BB pullback entries</t>
        </is>
      </c>
      <c r="H4" s="54" t="inlineStr">
        <is>
          <t>SPECIFIC — only gated switches</t>
        </is>
      </c>
      <c r="I4" s="54" t="inlineStr">
        <is>
          <t>LIVE — wired</t>
        </is>
      </c>
      <c r="J4" s="54" t="n"/>
      <c r="K4" s="51" t="inlineStr">
        <is>
          <t>1/4</t>
        </is>
      </c>
      <c r="L4" s="51" t="inlineStr">
        <is>
          <t>OFF, 15m, 1h, 4h, D (5 options)</t>
        </is>
      </c>
      <c r="M4" s="51" t="inlineStr">
        <is>
          <t>15m</t>
        </is>
      </c>
      <c r="N4" s="51" t="inlineStr">
        <is>
          <t>TF selector</t>
        </is>
      </c>
      <c r="O4" s="51" t="inlineStr">
        <is>
          <t>BB_PULLBACK_GATE_FILTER_TF</t>
        </is>
      </c>
      <c r="P4" s="51" t="inlineStr">
        <is>
          <t>getattr(cfg,"BB_PULLBACK_GATE_FILTER_TF")</t>
        </is>
      </c>
      <c r="Q4" s="35" t="inlineStr">
        <is>
          <t>NO</t>
        </is>
      </c>
    </row>
    <row r="5">
      <c r="A5" s="54" t="n">
        <v>6</v>
      </c>
      <c r="B5" s="55" t="inlineStr">
        <is>
          <t>BB_PULLBACK_GATE_FILTER_TF</t>
        </is>
      </c>
      <c r="C5" s="53" t="inlineStr">
        <is>
          <t>1h</t>
        </is>
      </c>
      <c r="D5" s="56" t="inlineStr">
        <is>
          <t>Pullback filter — blocks pullback entries unless BB position confirms oversold/bounce on FILTER_TF. | Live read: `_EXHAUSTIVE_FILTER_LIST_LIVE = ['ADAPTIVE_REGIME_DC_BREAKDOWN_THRESHOLD', 'ADAPT`</t>
        </is>
      </c>
      <c r="E5" s="56" t="inlineStr">
        <is>
          <t>GLOBAL_CHECK</t>
        </is>
      </c>
      <c r="F5" s="54" t="inlineStr">
        <is>
          <t>GLOBAL_CHECK</t>
        </is>
      </c>
      <c r="G5" s="56" t="inlineStr">
        <is>
          <t>BB pullback entries</t>
        </is>
      </c>
      <c r="H5" s="54" t="inlineStr">
        <is>
          <t>SPECIFIC — only gated switches</t>
        </is>
      </c>
      <c r="I5" s="54" t="inlineStr">
        <is>
          <t>LIVE — wired</t>
        </is>
      </c>
      <c r="J5" s="54" t="n"/>
      <c r="K5" s="51" t="inlineStr">
        <is>
          <t>1/4</t>
        </is>
      </c>
      <c r="L5" s="51" t="inlineStr">
        <is>
          <t>OFF, 15m, 1h, 4h, D (5 options)</t>
        </is>
      </c>
      <c r="M5" s="51" t="inlineStr">
        <is>
          <t>15m</t>
        </is>
      </c>
      <c r="N5" s="51" t="inlineStr">
        <is>
          <t>TF selector</t>
        </is>
      </c>
      <c r="O5" s="51" t="inlineStr">
        <is>
          <t>BB_PULLBACK_GATE_FILTER_TF</t>
        </is>
      </c>
      <c r="P5" s="51" t="inlineStr">
        <is>
          <t>getattr(cfg,"BB_PULLBACK_GATE_FILTER_TF")</t>
        </is>
      </c>
      <c r="Q5" s="35" t="inlineStr">
        <is>
          <t>NO</t>
        </is>
      </c>
    </row>
    <row r="6">
      <c r="A6" s="54" t="n">
        <v>6</v>
      </c>
      <c r="B6" s="57" t="inlineStr">
        <is>
          <t>BB_PULLBACK_GATE_FILTER_TF</t>
        </is>
      </c>
      <c r="C6" s="49" t="inlineStr">
        <is>
          <t>15m</t>
        </is>
      </c>
      <c r="D6" s="56" t="inlineStr">
        <is>
          <t>Pullback filter — blocks pullback entries unless BB position confirms oversold/bounce on FILTER_TF. | Live read: `_EXHAUSTIVE_FILTER_LIST_LIVE = ['ADAPTIVE_REGIME_DC_BREAKDOWN_THRESHOLD', 'ADAPT`</t>
        </is>
      </c>
      <c r="E6" s="56" t="inlineStr">
        <is>
          <t>GLOBAL_CHECK</t>
        </is>
      </c>
      <c r="F6" s="54" t="inlineStr">
        <is>
          <t>GLOBAL_CHECK</t>
        </is>
      </c>
      <c r="G6" s="56" t="inlineStr">
        <is>
          <t>BB pullback entries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BB_PULLBACK_GATE_FILTER_TF</t>
        </is>
      </c>
      <c r="P6" s="51" t="inlineStr">
        <is>
          <t>getattr(cfg,"BB_PULLBACK_GATE_FILTER_TF")</t>
        </is>
      </c>
      <c r="Q6" s="35" t="inlineStr">
        <is>
          <t>YES</t>
        </is>
      </c>
    </row>
    <row r="7">
      <c r="A7" s="54" t="n">
        <v>9</v>
      </c>
      <c r="B7" s="55" t="inlineStr">
        <is>
          <t>BREAKEVEN_GAIN_EROSION_FILTER_TF</t>
        </is>
      </c>
      <c r="C7" s="53" t="inlineStr">
        <is>
          <t>OFF</t>
        </is>
      </c>
      <c r="D7" s="56" t="inlineStr">
        <is>
          <t>Exit gate: when peak gain erodes toward breakeven, requires FILTER_TF confirmation before closing at breakeven. | Live read: `LOPE_DEADBAND', 'BB4H_BREAKOUT_LADDER_TARGET_USD', 'BB_FROZEN_STOP_FIELD', 'BB_F`</t>
        </is>
      </c>
      <c r="E7" s="56" t="inlineStr">
        <is>
          <t>GLOBAL_CHECK</t>
        </is>
      </c>
      <c r="F7" s="54" t="inlineStr">
        <is>
          <t>GLOBAL_CHECK</t>
        </is>
      </c>
      <c r="G7" s="56" t="inlineStr">
        <is>
          <t>BREAKEVEN_GAIN_EROSION</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BREAKEVEN_GAIN_EROSION_FILTER_TF</t>
        </is>
      </c>
      <c r="P7" s="51" t="inlineStr">
        <is>
          <t>getattr(cfg,"BREAKEVEN_GAIN_EROSION_FILTER_TF")</t>
        </is>
      </c>
      <c r="Q7" s="35" t="inlineStr">
        <is>
          <t>NO</t>
        </is>
      </c>
    </row>
    <row r="8">
      <c r="A8" s="54" t="n">
        <v>9</v>
      </c>
      <c r="B8" s="55" t="inlineStr">
        <is>
          <t>BREAKEVEN_GAIN_EROSION_FILTER_TF</t>
        </is>
      </c>
      <c r="C8" s="53" t="inlineStr">
        <is>
          <t>D</t>
        </is>
      </c>
      <c r="D8" s="56" t="inlineStr">
        <is>
          <t>Exit gate: when peak gain erodes toward breakeven, requires FILTER_TF confirmation before closing at breakeven. | Live read: `LOPE_DEADBAND', 'BB4H_BREAKOUT_LADDER_TARGET_USD', 'BB_FROZEN_STOP_FIELD', 'BB_F`</t>
        </is>
      </c>
      <c r="E8" s="56" t="inlineStr">
        <is>
          <t>GLOBAL_CHECK</t>
        </is>
      </c>
      <c r="F8" s="54" t="inlineStr">
        <is>
          <t>GLOBAL_CHECK</t>
        </is>
      </c>
      <c r="G8" s="56" t="inlineStr">
        <is>
          <t>BREAKEVEN_GAIN_EROSION</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BREAKEVEN_GAIN_EROSION_FILTER_TF</t>
        </is>
      </c>
      <c r="P8" s="51" t="inlineStr">
        <is>
          <t>getattr(cfg,"BREAKEVEN_GAIN_EROSION_FILTER_TF")</t>
        </is>
      </c>
      <c r="Q8" s="35" t="inlineStr">
        <is>
          <t>NO</t>
        </is>
      </c>
    </row>
    <row r="9">
      <c r="A9" s="54" t="n">
        <v>9</v>
      </c>
      <c r="B9" s="55" t="inlineStr">
        <is>
          <t>BREAKEVEN_GAIN_EROSION_FILTER_TF</t>
        </is>
      </c>
      <c r="C9" s="53" t="inlineStr">
        <is>
          <t>4h</t>
        </is>
      </c>
      <c r="D9" s="56" t="inlineStr">
        <is>
          <t>Exit gate: when peak gain erodes toward breakeven, requires FILTER_TF confirmation before closing at breakeven. | Live read: `LOPE_DEADBAND', 'BB4H_BREAKOUT_LADDER_TARGET_USD', 'BB_FROZEN_STOP_FIELD', 'BB_F`</t>
        </is>
      </c>
      <c r="E9" s="56" t="inlineStr">
        <is>
          <t>GLOBAL_CHECK</t>
        </is>
      </c>
      <c r="F9" s="54" t="inlineStr">
        <is>
          <t>GLOBAL_CHECK</t>
        </is>
      </c>
      <c r="G9" s="56" t="inlineStr">
        <is>
          <t>BREAKEVEN_GAIN_EROSION</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BREAKEVEN_GAIN_EROSION_FILTER_TF</t>
        </is>
      </c>
      <c r="P9" s="51" t="inlineStr">
        <is>
          <t>getattr(cfg,"BREAKEVEN_GAIN_EROSION_FILTER_TF")</t>
        </is>
      </c>
      <c r="Q9" s="35" t="inlineStr">
        <is>
          <t>NO</t>
        </is>
      </c>
    </row>
    <row r="10">
      <c r="A10" s="54" t="n">
        <v>9</v>
      </c>
      <c r="B10" s="55" t="inlineStr">
        <is>
          <t>BREAKEVEN_GAIN_EROSION_FILTER_TF</t>
        </is>
      </c>
      <c r="C10" s="53" t="inlineStr">
        <is>
          <t>1h</t>
        </is>
      </c>
      <c r="D10" s="56" t="inlineStr">
        <is>
          <t>Exit gate: when peak gain erodes toward breakeven, requires FILTER_TF confirmation before closing at breakeven. | Live read: `LOPE_DEADBAND', 'BB4H_BREAKOUT_LADDER_TARGET_USD', 'BB_FROZEN_STOP_FIELD', 'BB_F`</t>
        </is>
      </c>
      <c r="E10" s="56" t="inlineStr">
        <is>
          <t>GLOBAL_CHECK</t>
        </is>
      </c>
      <c r="F10" s="54" t="inlineStr">
        <is>
          <t>GLOBAL_CHECK</t>
        </is>
      </c>
      <c r="G10" s="56" t="inlineStr">
        <is>
          <t>BREAKEVEN_GAIN_EROSION</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BREAKEVEN_GAIN_EROSION_FILTER_TF</t>
        </is>
      </c>
      <c r="P10" s="51" t="inlineStr">
        <is>
          <t>getattr(cfg,"BREAKEVEN_GAIN_EROSION_FILTER_TF")</t>
        </is>
      </c>
      <c r="Q10" s="35" t="inlineStr">
        <is>
          <t>NO</t>
        </is>
      </c>
    </row>
    <row r="11">
      <c r="A11" s="54" t="n">
        <v>9</v>
      </c>
      <c r="B11" s="57" t="inlineStr">
        <is>
          <t>BREAKEVEN_GAIN_EROSION_FILTER_TF</t>
        </is>
      </c>
      <c r="C11" s="49" t="inlineStr">
        <is>
          <t>15m</t>
        </is>
      </c>
      <c r="D11" s="56" t="inlineStr">
        <is>
          <t>Exit gate: when peak gain erodes toward breakeven, requires FILTER_TF confirmation before closing at breakeven. | Live read: `LOPE_DEADBAND', 'BB4H_BREAKOUT_LADDER_TARGET_USD', 'BB_FROZEN_STOP_FIELD', 'BB_F`</t>
        </is>
      </c>
      <c r="E11" s="56" t="inlineStr">
        <is>
          <t>GLOBAL_CHECK</t>
        </is>
      </c>
      <c r="F11" s="54" t="inlineStr">
        <is>
          <t>GLOBAL_CHECK</t>
        </is>
      </c>
      <c r="G11" s="56" t="inlineStr">
        <is>
          <t>BREAKEVEN_GAIN_EROSION</t>
        </is>
      </c>
      <c r="H11" s="54" t="inlineStr">
        <is>
          <t>SPECIFIC — only gated switches</t>
        </is>
      </c>
      <c r="I11" s="54" t="inlineStr">
        <is>
          <t>LIVE — wired</t>
        </is>
      </c>
      <c r="J11" s="54" t="n"/>
      <c r="K11" s="51" t="inlineStr">
        <is>
          <t>1/4</t>
        </is>
      </c>
      <c r="L11" s="51" t="inlineStr">
        <is>
          <t>OFF, 15m, 1h, 4h, D (5 options)</t>
        </is>
      </c>
      <c r="M11" s="51" t="inlineStr">
        <is>
          <t>15m</t>
        </is>
      </c>
      <c r="N11" s="51" t="inlineStr">
        <is>
          <t>TF selector</t>
        </is>
      </c>
      <c r="O11" s="51" t="inlineStr">
        <is>
          <t>BREAKEVEN_GAIN_EROSION_FILTER_TF</t>
        </is>
      </c>
      <c r="P11" s="51" t="inlineStr">
        <is>
          <t>getattr(cfg,"BREAKEVEN_GAIN_EROSION_FILTER_TF")</t>
        </is>
      </c>
      <c r="Q11" s="35" t="inlineStr">
        <is>
          <t>YES</t>
        </is>
      </c>
    </row>
    <row r="12">
      <c r="A12" s="54" t="n">
        <v>10</v>
      </c>
      <c r="B12" s="55" t="inlineStr">
        <is>
          <t>BREAKOUT_RETEST_FILTER_TF</t>
        </is>
      </c>
      <c r="C12" s="53" t="inlineStr">
        <is>
          <t>OFF</t>
        </is>
      </c>
      <c r="D12" s="56" t="inlineStr">
        <is>
          <t>Breakout filter: after DC/BB breakout, requires retest hold on FILTER_TF before entry. | Live read: `UM_CHECK_ENABLED', 'BREAKOUT_HTF_MIN_ALIGNED', 'BREAKOUT_INJECT_LIVE', 'BREAKOUT`</t>
        </is>
      </c>
      <c r="E12" s="56" t="inlineStr">
        <is>
          <t>GLOBAL_CHECK</t>
        </is>
      </c>
      <c r="F12" s="54" t="inlineStr">
        <is>
          <t>GLOBAL_CHECK</t>
        </is>
      </c>
      <c r="G12" s="56" t="inlineStr">
        <is>
          <t>Breakout retest</t>
        </is>
      </c>
      <c r="H12" s="54" t="inlineStr">
        <is>
          <t>SPECIFIC — only gated switches</t>
        </is>
      </c>
      <c r="I12" s="54" t="inlineStr">
        <is>
          <t>LIVE — wired</t>
        </is>
      </c>
      <c r="J12" s="54" t="n"/>
      <c r="K12" s="51" t="inlineStr">
        <is>
          <t>1/4</t>
        </is>
      </c>
      <c r="L12" s="51" t="inlineStr">
        <is>
          <t>OFF, 15m, 1h, 4h, D (5 options)</t>
        </is>
      </c>
      <c r="M12" s="51" t="inlineStr">
        <is>
          <t>15m</t>
        </is>
      </c>
      <c r="N12" s="51" t="inlineStr">
        <is>
          <t>TF selector</t>
        </is>
      </c>
      <c r="O12" s="51" t="inlineStr">
        <is>
          <t>BREAKOUT_RETEST_FILTER_TF</t>
        </is>
      </c>
      <c r="P12" s="51" t="inlineStr">
        <is>
          <t>getattr(cfg,"BREAKOUT_RETEST_FILTER_TF")</t>
        </is>
      </c>
      <c r="Q12" s="35" t="inlineStr">
        <is>
          <t>NO</t>
        </is>
      </c>
    </row>
    <row r="13">
      <c r="A13" s="54" t="n">
        <v>10</v>
      </c>
      <c r="B13" s="55" t="inlineStr">
        <is>
          <t>BREAKOUT_RETEST_FILTER_TF</t>
        </is>
      </c>
      <c r="C13" s="53" t="inlineStr">
        <is>
          <t>D</t>
        </is>
      </c>
      <c r="D13" s="56" t="inlineStr">
        <is>
          <t>Breakout filter: after DC/BB breakout, requires retest hold on FILTER_TF before entry. | Live read: `UM_CHECK_ENABLED', 'BREAKOUT_HTF_MIN_ALIGNED', 'BREAKOUT_INJECT_LIVE', 'BREAKOUT`</t>
        </is>
      </c>
      <c r="E13" s="56" t="inlineStr">
        <is>
          <t>GLOBAL_CHECK</t>
        </is>
      </c>
      <c r="F13" s="54" t="inlineStr">
        <is>
          <t>GLOBAL_CHECK</t>
        </is>
      </c>
      <c r="G13" s="56" t="inlineStr">
        <is>
          <t>Breakout retest</t>
        </is>
      </c>
      <c r="H13" s="54" t="inlineStr">
        <is>
          <t>SPECIFIC — only gated switches</t>
        </is>
      </c>
      <c r="I13" s="54" t="inlineStr">
        <is>
          <t>LIVE — wired</t>
        </is>
      </c>
      <c r="J13" s="54" t="n"/>
      <c r="K13" s="51" t="inlineStr">
        <is>
          <t>1/4</t>
        </is>
      </c>
      <c r="L13" s="51" t="inlineStr">
        <is>
          <t>OFF, 15m, 1h, 4h, D (5 options)</t>
        </is>
      </c>
      <c r="M13" s="51" t="inlineStr">
        <is>
          <t>15m</t>
        </is>
      </c>
      <c r="N13" s="51" t="inlineStr">
        <is>
          <t>TF selector</t>
        </is>
      </c>
      <c r="O13" s="51" t="inlineStr">
        <is>
          <t>BREAKOUT_RETEST_FILTER_TF</t>
        </is>
      </c>
      <c r="P13" s="51" t="inlineStr">
        <is>
          <t>getattr(cfg,"BREAKOUT_RETEST_FILTER_TF")</t>
        </is>
      </c>
      <c r="Q13" s="35" t="inlineStr">
        <is>
          <t>NO</t>
        </is>
      </c>
    </row>
    <row r="14">
      <c r="A14" s="54" t="n">
        <v>10</v>
      </c>
      <c r="B14" s="55" t="inlineStr">
        <is>
          <t>BREAKOUT_RETEST_FILTER_TF</t>
        </is>
      </c>
      <c r="C14" s="53" t="inlineStr">
        <is>
          <t>4h</t>
        </is>
      </c>
      <c r="D14" s="56" t="inlineStr">
        <is>
          <t>Breakout filter: after DC/BB breakout, requires retest hold on FILTER_TF before entry. | Live read: `UM_CHECK_ENABLED', 'BREAKOUT_HTF_MIN_ALIGNED', 'BREAKOUT_INJECT_LIVE', 'BREAKOUT`</t>
        </is>
      </c>
      <c r="E14" s="56" t="inlineStr">
        <is>
          <t>GLOBAL_CHECK</t>
        </is>
      </c>
      <c r="F14" s="54" t="inlineStr">
        <is>
          <t>GLOBAL_CHECK</t>
        </is>
      </c>
      <c r="G14" s="56" t="inlineStr">
        <is>
          <t>Breakout retest</t>
        </is>
      </c>
      <c r="H14" s="54" t="inlineStr">
        <is>
          <t>SPECIFIC — only gated switches</t>
        </is>
      </c>
      <c r="I14" s="54" t="inlineStr">
        <is>
          <t>LIVE — wired</t>
        </is>
      </c>
      <c r="J14" s="54" t="n"/>
      <c r="K14" s="51" t="inlineStr">
        <is>
          <t>1/4</t>
        </is>
      </c>
      <c r="L14" s="51" t="inlineStr">
        <is>
          <t>OFF, 15m, 1h, 4h, D (5 options)</t>
        </is>
      </c>
      <c r="M14" s="51" t="inlineStr">
        <is>
          <t>15m</t>
        </is>
      </c>
      <c r="N14" s="51" t="inlineStr">
        <is>
          <t>TF selector</t>
        </is>
      </c>
      <c r="O14" s="51" t="inlineStr">
        <is>
          <t>BREAKOUT_RETEST_FILTER_TF</t>
        </is>
      </c>
      <c r="P14" s="51" t="inlineStr">
        <is>
          <t>getattr(cfg,"BREAKOUT_RETEST_FILTER_TF")</t>
        </is>
      </c>
      <c r="Q14" s="35" t="inlineStr">
        <is>
          <t>NO</t>
        </is>
      </c>
    </row>
    <row r="15">
      <c r="A15" s="54" t="n">
        <v>10</v>
      </c>
      <c r="B15" s="55" t="inlineStr">
        <is>
          <t>BREAKOUT_RETEST_FILTER_TF</t>
        </is>
      </c>
      <c r="C15" s="53" t="inlineStr">
        <is>
          <t>1h</t>
        </is>
      </c>
      <c r="D15" s="56" t="inlineStr">
        <is>
          <t>Breakout filter: after DC/BB breakout, requires retest hold on FILTER_TF before entry. | Live read: `UM_CHECK_ENABLED', 'BREAKOUT_HTF_MIN_ALIGNED', 'BREAKOUT_INJECT_LIVE', 'BREAKOUT`</t>
        </is>
      </c>
      <c r="E15" s="56" t="inlineStr">
        <is>
          <t>GLOBAL_CHECK</t>
        </is>
      </c>
      <c r="F15" s="54" t="inlineStr">
        <is>
          <t>GLOBAL_CHECK</t>
        </is>
      </c>
      <c r="G15" s="56" t="inlineStr">
        <is>
          <t>Breakout retest</t>
        </is>
      </c>
      <c r="H15" s="54" t="inlineStr">
        <is>
          <t>SPECIFIC — only gated switches</t>
        </is>
      </c>
      <c r="I15" s="54" t="inlineStr">
        <is>
          <t>LIVE — wired</t>
        </is>
      </c>
      <c r="J15" s="54" t="n"/>
      <c r="K15" s="51" t="inlineStr">
        <is>
          <t>1/4</t>
        </is>
      </c>
      <c r="L15" s="51" t="inlineStr">
        <is>
          <t>OFF, 15m, 1h, 4h, D (5 options)</t>
        </is>
      </c>
      <c r="M15" s="51" t="inlineStr">
        <is>
          <t>15m</t>
        </is>
      </c>
      <c r="N15" s="51" t="inlineStr">
        <is>
          <t>TF selector</t>
        </is>
      </c>
      <c r="O15" s="51" t="inlineStr">
        <is>
          <t>BREAKOUT_RETEST_FILTER_TF</t>
        </is>
      </c>
      <c r="P15" s="51" t="inlineStr">
        <is>
          <t>getattr(cfg,"BREAKOUT_RETEST_FILTER_TF")</t>
        </is>
      </c>
      <c r="Q15" s="35" t="inlineStr">
        <is>
          <t>NO</t>
        </is>
      </c>
    </row>
    <row r="16">
      <c r="A16" s="54" t="n">
        <v>10</v>
      </c>
      <c r="B16" s="57" t="inlineStr">
        <is>
          <t>BREAKOUT_RETEST_FILTER_TF</t>
        </is>
      </c>
      <c r="C16" s="49" t="inlineStr">
        <is>
          <t>15m</t>
        </is>
      </c>
      <c r="D16" s="56" t="inlineStr">
        <is>
          <t>Breakout filter: after DC/BB breakout, requires retest hold on FILTER_TF before entry. | Live read: `UM_CHECK_ENABLED', 'BREAKOUT_HTF_MIN_ALIGNED', 'BREAKOUT_INJECT_LIVE', 'BREAKOUT`</t>
        </is>
      </c>
      <c r="E16" s="56" t="inlineStr">
        <is>
          <t>GLOBAL_CHECK</t>
        </is>
      </c>
      <c r="F16" s="54" t="inlineStr">
        <is>
          <t>GLOBAL_CHECK</t>
        </is>
      </c>
      <c r="G16" s="56" t="inlineStr">
        <is>
          <t>Breakout retest</t>
        </is>
      </c>
      <c r="H16" s="54" t="inlineStr">
        <is>
          <t>SPECIFIC — only gated switches</t>
        </is>
      </c>
      <c r="I16" s="54" t="inlineStr">
        <is>
          <t>LIVE — wired</t>
        </is>
      </c>
      <c r="J16" s="54" t="n"/>
      <c r="K16" s="51" t="inlineStr">
        <is>
          <t>1/4</t>
        </is>
      </c>
      <c r="L16" s="51" t="inlineStr">
        <is>
          <t>OFF, 15m, 1h, 4h, D (5 options)</t>
        </is>
      </c>
      <c r="M16" s="51" t="inlineStr">
        <is>
          <t>15m</t>
        </is>
      </c>
      <c r="N16" s="51" t="inlineStr">
        <is>
          <t>TF selector</t>
        </is>
      </c>
      <c r="O16" s="51" t="inlineStr">
        <is>
          <t>BREAKOUT_RETEST_FILTER_TF</t>
        </is>
      </c>
      <c r="P16" s="51" t="inlineStr">
        <is>
          <t>getattr(cfg,"BREAKOUT_RETEST_FILTER_TF")</t>
        </is>
      </c>
      <c r="Q16" s="35" t="inlineStr">
        <is>
          <t>YES</t>
        </is>
      </c>
    </row>
    <row r="17">
      <c r="A17" s="54" t="n">
        <v>15</v>
      </c>
      <c r="B17" s="55" t="inlineStr">
        <is>
          <t>BT_WT_CROSS_LADDER_FILTER_TF</t>
        </is>
      </c>
      <c r="C17" s="53" t="inlineStr">
        <is>
          <t>OFF</t>
        </is>
      </c>
      <c r="D17" s="56" t="inlineStr">
        <is>
          <t>WT cross ladder confirmation on FILTER_TF. | Live read: `_EXHAUSTIVE_FILTER_LIST_LIVE = ['ADAPTIVE_REGIME_DC_BREAKDOWN_THRESHOLD', 'ADAPT`</t>
        </is>
      </c>
      <c r="E17" s="56" t="inlineStr">
        <is>
          <t>GLOBAL_CHECK</t>
        </is>
      </c>
      <c r="F17" s="54" t="inlineStr">
        <is>
          <t>GLOBAL_CHECK</t>
        </is>
      </c>
      <c r="G17" s="56" t="inlineStr">
        <is>
          <t>BT_WT_CROSS_LADDER</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BT_WT_CROSS_LADDER_FILTER_TF</t>
        </is>
      </c>
      <c r="P17" s="51" t="inlineStr">
        <is>
          <t>getattr(cfg,"BT_WT_CROSS_LADDER_FILTER_TF")</t>
        </is>
      </c>
      <c r="Q17" s="35" t="inlineStr">
        <is>
          <t>NO</t>
        </is>
      </c>
    </row>
    <row r="18">
      <c r="A18" s="54" t="n">
        <v>15</v>
      </c>
      <c r="B18" s="55" t="inlineStr">
        <is>
          <t>BT_WT_CROSS_LADDER_FILTER_TF</t>
        </is>
      </c>
      <c r="C18" s="53" t="inlineStr">
        <is>
          <t>D</t>
        </is>
      </c>
      <c r="D18" s="56" t="inlineStr">
        <is>
          <t>WT cross ladder confirmation on FILTER_TF. | Live read: `_EXHAUSTIVE_FILTER_LIST_LIVE = ['ADAPTIVE_REGIME_DC_BREAKDOWN_THRESHOLD', 'ADAPT`</t>
        </is>
      </c>
      <c r="E18" s="56" t="inlineStr">
        <is>
          <t>GLOBAL_CHECK</t>
        </is>
      </c>
      <c r="F18" s="54" t="inlineStr">
        <is>
          <t>GLOBAL_CHECK</t>
        </is>
      </c>
      <c r="G18" s="56" t="inlineStr">
        <is>
          <t>BT_WT_CROSS_LADDER</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BT_WT_CROSS_LADDER_FILTER_TF</t>
        </is>
      </c>
      <c r="P18" s="51" t="inlineStr">
        <is>
          <t>getattr(cfg,"BT_WT_CROSS_LADDER_FILTER_TF")</t>
        </is>
      </c>
      <c r="Q18" s="35" t="inlineStr">
        <is>
          <t>NO</t>
        </is>
      </c>
    </row>
    <row r="19">
      <c r="A19" s="54" t="n">
        <v>15</v>
      </c>
      <c r="B19" s="55" t="inlineStr">
        <is>
          <t>BT_WT_CROSS_LADDER_FILTER_TF</t>
        </is>
      </c>
      <c r="C19" s="53" t="inlineStr">
        <is>
          <t>4h</t>
        </is>
      </c>
      <c r="D19" s="56" t="inlineStr">
        <is>
          <t>WT cross ladder confirmation on FILTER_TF. | Live read: `_EXHAUSTIVE_FILTER_LIST_LIVE = ['ADAPTIVE_REGIME_DC_BREAKDOWN_THRESHOLD', 'ADAPT`</t>
        </is>
      </c>
      <c r="E19" s="56" t="inlineStr">
        <is>
          <t>GLOBAL_CHECK</t>
        </is>
      </c>
      <c r="F19" s="54" t="inlineStr">
        <is>
          <t>GLOBAL_CHECK</t>
        </is>
      </c>
      <c r="G19" s="56" t="inlineStr">
        <is>
          <t>BT_WT_CROSS_LADDER</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BT_WT_CROSS_LADDER_FILTER_TF</t>
        </is>
      </c>
      <c r="P19" s="51" t="inlineStr">
        <is>
          <t>getattr(cfg,"BT_WT_CROSS_LADDER_FILTER_TF")</t>
        </is>
      </c>
      <c r="Q19" s="35" t="inlineStr">
        <is>
          <t>NO</t>
        </is>
      </c>
    </row>
    <row r="20">
      <c r="A20" s="54" t="n">
        <v>15</v>
      </c>
      <c r="B20" s="55" t="inlineStr">
        <is>
          <t>BT_WT_CROSS_LADDER_FILTER_TF</t>
        </is>
      </c>
      <c r="C20" s="53" t="inlineStr">
        <is>
          <t>1h</t>
        </is>
      </c>
      <c r="D20" s="56" t="inlineStr">
        <is>
          <t>WT cross ladder confirmation on FILTER_TF. | Live read: `_EXHAUSTIVE_FILTER_LIST_LIVE = ['ADAPTIVE_REGIME_DC_BREAKDOWN_THRESHOLD', 'ADAPT`</t>
        </is>
      </c>
      <c r="E20" s="56" t="inlineStr">
        <is>
          <t>GLOBAL_CHECK</t>
        </is>
      </c>
      <c r="F20" s="54" t="inlineStr">
        <is>
          <t>GLOBAL_CHECK</t>
        </is>
      </c>
      <c r="G20" s="56" t="inlineStr">
        <is>
          <t>BT_WT_CROSS_LADDER</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BT_WT_CROSS_LADDER_FILTER_TF</t>
        </is>
      </c>
      <c r="P20" s="51" t="inlineStr">
        <is>
          <t>getattr(cfg,"BT_WT_CROSS_LADDER_FILTER_TF")</t>
        </is>
      </c>
      <c r="Q20" s="35" t="inlineStr">
        <is>
          <t>NO</t>
        </is>
      </c>
    </row>
    <row r="21" ht="15.75" customHeight="1" s="67">
      <c r="A21" s="54" t="n">
        <v>15</v>
      </c>
      <c r="B21" s="57" t="inlineStr">
        <is>
          <t>BT_WT_CROSS_LADDER_FILTER_TF</t>
        </is>
      </c>
      <c r="C21" s="49" t="inlineStr">
        <is>
          <t>15m</t>
        </is>
      </c>
      <c r="D21" s="56" t="inlineStr">
        <is>
          <t>WT cross ladder confirmation on FILTER_TF. | Live read: `_EXHAUSTIVE_FILTER_LIST_LIVE = ['ADAPTIVE_REGIME_DC_BREAKDOWN_THRESHOLD', 'ADAPT`</t>
        </is>
      </c>
      <c r="E21" s="56" t="inlineStr">
        <is>
          <t>GLOBAL_CHECK</t>
        </is>
      </c>
      <c r="F21" s="54" t="inlineStr">
        <is>
          <t>GLOBAL_CHECK</t>
        </is>
      </c>
      <c r="G21" s="56" t="inlineStr">
        <is>
          <t>BT_WT_CROSS_LADDER</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BT_WT_CROSS_LADDER_FILTER_TF</t>
        </is>
      </c>
      <c r="P21" s="51" t="inlineStr">
        <is>
          <t>getattr(cfg,"BT_WT_CROSS_LADDER_FILTER_TF")</t>
        </is>
      </c>
      <c r="Q21" s="35" t="inlineStr">
        <is>
          <t>YES</t>
        </is>
      </c>
    </row>
    <row r="22" ht="15.75" customHeight="1" s="67">
      <c r="A22" s="54" t="n">
        <v>20</v>
      </c>
      <c r="B22" s="55" t="inlineStr">
        <is>
          <t>DC_BREACH_REDUCE_FILTER_TF</t>
        </is>
      </c>
      <c r="C22" s="53" t="inlineStr">
        <is>
          <t>D</t>
        </is>
      </c>
      <c r="D22" s="56" t="inlineStr">
        <is>
          <t>Reduce: when DC channel is breached against position, requires FILTER_TF confirm before partial reduce. | Live read: `_EXHAUSTIVE_REDUCE_LIST_LIVE = ['DC_BREACH_REDUCE_ENABLED', 'DC_BREACH_REDUCE_FI`</t>
        </is>
      </c>
      <c r="E22" s="56" t="inlineStr">
        <is>
          <t>GLOBAL_CHECK</t>
        </is>
      </c>
      <c r="F22" s="54" t="inlineStr">
        <is>
          <t>GLOBAL_CHECK</t>
        </is>
      </c>
      <c r="G22" s="56" t="inlineStr">
        <is>
          <t>DC breach reduce</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DC_BREACH_REDUCE_FILTER_TF</t>
        </is>
      </c>
      <c r="P22" s="51" t="inlineStr">
        <is>
          <t>getattr(cfg,"DC_BREACH_REDUCE_FILTER_TF")</t>
        </is>
      </c>
      <c r="Q22" s="35" t="inlineStr">
        <is>
          <t>NO</t>
        </is>
      </c>
    </row>
    <row r="23" ht="15.75" customHeight="1" s="67">
      <c r="A23" s="54" t="n">
        <v>20</v>
      </c>
      <c r="B23" s="55" t="inlineStr">
        <is>
          <t>DC_BREACH_REDUCE_FILTER_TF</t>
        </is>
      </c>
      <c r="C23" s="53" t="inlineStr">
        <is>
          <t>4h</t>
        </is>
      </c>
      <c r="D23" s="56" t="inlineStr">
        <is>
          <t>Reduce: when DC channel is breached against position, requires FILTER_TF confirm before partial reduce. | Live read: `_EXHAUSTIVE_REDUCE_LIST_LIVE = ['DC_BREACH_REDUCE_ENABLED', 'DC_BREACH_REDUCE_FI`</t>
        </is>
      </c>
      <c r="E23" s="56" t="inlineStr">
        <is>
          <t>GLOBAL_CHECK</t>
        </is>
      </c>
      <c r="F23" s="54" t="inlineStr">
        <is>
          <t>GLOBAL_CHECK</t>
        </is>
      </c>
      <c r="G23" s="56" t="inlineStr">
        <is>
          <t>DC breach reduce</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DC_BREACH_REDUCE_FILTER_TF</t>
        </is>
      </c>
      <c r="P23" s="51" t="inlineStr">
        <is>
          <t>getattr(cfg,"DC_BREACH_REDUCE_FILTER_TF")</t>
        </is>
      </c>
      <c r="Q23" s="35" t="inlineStr">
        <is>
          <t>NO</t>
        </is>
      </c>
    </row>
    <row r="24" ht="15.75" customHeight="1" s="67">
      <c r="A24" s="54" t="n">
        <v>20</v>
      </c>
      <c r="B24" s="55" t="inlineStr">
        <is>
          <t>DC_BREACH_REDUCE_FILTER_TF</t>
        </is>
      </c>
      <c r="C24" s="53" t="inlineStr">
        <is>
          <t>1h</t>
        </is>
      </c>
      <c r="D24" s="56" t="inlineStr">
        <is>
          <t>Reduce: when DC channel is breached against position, requires FILTER_TF confirm before partial reduce. | Live read: `_EXHAUSTIVE_REDUCE_LIST_LIVE = ['DC_BREACH_REDUCE_ENABLED', 'DC_BREACH_REDUCE_FI`</t>
        </is>
      </c>
      <c r="E24" s="56" t="inlineStr">
        <is>
          <t>GLOBAL_CHECK</t>
        </is>
      </c>
      <c r="F24" s="54" t="inlineStr">
        <is>
          <t>GLOBAL_CHECK</t>
        </is>
      </c>
      <c r="G24" s="56" t="inlineStr">
        <is>
          <t>DC breach reduce</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DC_BREACH_REDUCE_FILTER_TF</t>
        </is>
      </c>
      <c r="P24" s="51" t="inlineStr">
        <is>
          <t>getattr(cfg,"DC_BREACH_REDUCE_FILTER_TF")</t>
        </is>
      </c>
      <c r="Q24" s="35" t="inlineStr">
        <is>
          <t>NO</t>
        </is>
      </c>
    </row>
    <row r="25" ht="15.75" customHeight="1" s="67">
      <c r="A25" s="54" t="n">
        <v>20</v>
      </c>
      <c r="B25" s="57" t="inlineStr">
        <is>
          <t>DC_BREACH_REDUCE_FILTER_TF</t>
        </is>
      </c>
      <c r="C25" s="49" t="inlineStr">
        <is>
          <t>15m</t>
        </is>
      </c>
      <c r="D25" s="56" t="inlineStr">
        <is>
          <t>Reduce: when DC channel is breached against position, requires FILTER_TF confirm before partial reduce. | Live read: `_EXHAUSTIVE_REDUCE_LIST_LIVE = ['DC_BREACH_REDUCE_ENABLED', 'DC_BREACH_REDUCE_FI`</t>
        </is>
      </c>
      <c r="E25" s="56" t="inlineStr">
        <is>
          <t>GLOBAL_CHECK</t>
        </is>
      </c>
      <c r="F25" s="54" t="inlineStr">
        <is>
          <t>GLOBAL_CHECK</t>
        </is>
      </c>
      <c r="G25" s="56" t="inlineStr">
        <is>
          <t>DC breach reduce</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DC_BREACH_REDUCE_FILTER_TF</t>
        </is>
      </c>
      <c r="P25" s="51" t="inlineStr">
        <is>
          <t>getattr(cfg,"DC_BREACH_REDUCE_FILTER_TF")</t>
        </is>
      </c>
      <c r="Q25" s="35" t="inlineStr">
        <is>
          <t>YES</t>
        </is>
      </c>
    </row>
    <row r="26" ht="15.75" customHeight="1" s="67">
      <c r="A26" s="54" t="n">
        <v>21</v>
      </c>
      <c r="B26" s="55" t="inlineStr">
        <is>
          <t>DC_BREAK_FILTER_TF</t>
        </is>
      </c>
      <c r="C26" s="53" t="inlineStr">
        <is>
          <t>OFF</t>
        </is>
      </c>
      <c r="D26" s="56" t="inlineStr">
        <is>
          <t>Donchian break confirmation on FILTER_TF before breakout entry. | Live read: `RY_REENTRY_K15_HIGH_SIZE_FRAC', 'OBLIGATORY_REENTRY_LONG_ENABLED', 'OBLIGATORY_R`</t>
        </is>
      </c>
      <c r="E26" s="56" t="inlineStr">
        <is>
          <t>ENTRY, GLOBAL_CHECK, REENTRY, STOCKS_EXIT</t>
        </is>
      </c>
      <c r="F26" s="54" t="inlineStr">
        <is>
          <t>ENTRY, GLOBAL_CHECK, REENTRY, STOCKS_EXIT</t>
        </is>
      </c>
      <c r="G26" s="56" t="inlineStr">
        <is>
          <t>Donchian breakout</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DC_BREAK_FILTER_TF</t>
        </is>
      </c>
      <c r="P26" s="51" t="inlineStr">
        <is>
          <t>getattr(cfg,"DC_BREAK_FILTER_TF")</t>
        </is>
      </c>
      <c r="Q26" s="35" t="inlineStr">
        <is>
          <t>NO</t>
        </is>
      </c>
    </row>
    <row r="27" ht="15.75" customHeight="1" s="67">
      <c r="A27" s="54" t="n">
        <v>21</v>
      </c>
      <c r="B27" s="55" t="inlineStr">
        <is>
          <t>DC_BREAK_FILTER_TF</t>
        </is>
      </c>
      <c r="C27" s="53" t="inlineStr">
        <is>
          <t>D</t>
        </is>
      </c>
      <c r="D27" s="56" t="inlineStr">
        <is>
          <t>Donchian break confirmation on FILTER_TF before breakout entry. | Live read: `RY_REENTRY_K15_HIGH_SIZE_FRAC', 'OBLIGATORY_REENTRY_LONG_ENABLED', 'OBLIGATORY_R`</t>
        </is>
      </c>
      <c r="E27" s="56" t="inlineStr">
        <is>
          <t>ENTRY, GLOBAL_CHECK, REENTRY, STOCKS_EXIT</t>
        </is>
      </c>
      <c r="F27" s="54" t="inlineStr">
        <is>
          <t>ENTRY, GLOBAL_CHECK, REENTRY, STOCKS_EXIT</t>
        </is>
      </c>
      <c r="G27" s="56" t="inlineStr">
        <is>
          <t>Donchian breakout</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DC_BREAK_FILTER_TF</t>
        </is>
      </c>
      <c r="P27" s="51" t="inlineStr">
        <is>
          <t>getattr(cfg,"DC_BREAK_FILTER_TF")</t>
        </is>
      </c>
      <c r="Q27" s="35" t="inlineStr">
        <is>
          <t>NO</t>
        </is>
      </c>
    </row>
    <row r="28" ht="15.75" customHeight="1" s="67">
      <c r="A28" s="54" t="n">
        <v>21</v>
      </c>
      <c r="B28" s="55" t="inlineStr">
        <is>
          <t>DC_BREAK_FILTER_TF</t>
        </is>
      </c>
      <c r="C28" s="53" t="inlineStr">
        <is>
          <t>4h</t>
        </is>
      </c>
      <c r="D28" s="56" t="inlineStr">
        <is>
          <t>Donchian break confirmation on FILTER_TF before breakout entry. | Live read: `RY_REENTRY_K15_HIGH_SIZE_FRAC', 'OBLIGATORY_REENTRY_LONG_ENABLED', 'OBLIGATORY_R`</t>
        </is>
      </c>
      <c r="E28" s="56" t="inlineStr">
        <is>
          <t>ENTRY, GLOBAL_CHECK, REENTRY, STOCKS_EXIT</t>
        </is>
      </c>
      <c r="F28" s="54" t="inlineStr">
        <is>
          <t>ENTRY, GLOBAL_CHECK, REENTRY, STOCKS_EXIT</t>
        </is>
      </c>
      <c r="G28" s="56" t="inlineStr">
        <is>
          <t>Donchian breakout</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DC_BREAK_FILTER_TF</t>
        </is>
      </c>
      <c r="P28" s="51" t="inlineStr">
        <is>
          <t>getattr(cfg,"DC_BREAK_FILTER_TF")</t>
        </is>
      </c>
      <c r="Q28" s="35" t="inlineStr">
        <is>
          <t>NO</t>
        </is>
      </c>
    </row>
    <row r="29" ht="15.75" customHeight="1" s="67">
      <c r="A29" s="54" t="n">
        <v>21</v>
      </c>
      <c r="B29" s="55" t="inlineStr">
        <is>
          <t>DC_BREAK_FILTER_TF</t>
        </is>
      </c>
      <c r="C29" s="53" t="inlineStr">
        <is>
          <t>1h</t>
        </is>
      </c>
      <c r="D29" s="56" t="inlineStr">
        <is>
          <t>Donchian break confirmation on FILTER_TF before breakout entry. | Live read: `RY_REENTRY_K15_HIGH_SIZE_FRAC', 'OBLIGATORY_REENTRY_LONG_ENABLED', 'OBLIGATORY_R`</t>
        </is>
      </c>
      <c r="E29" s="56" t="inlineStr">
        <is>
          <t>ENTRY, GLOBAL_CHECK, REENTRY, STOCKS_EXIT</t>
        </is>
      </c>
      <c r="F29" s="54" t="inlineStr">
        <is>
          <t>ENTRY, GLOBAL_CHECK, REENTRY, STOCKS_EXIT</t>
        </is>
      </c>
      <c r="G29" s="56" t="inlineStr">
        <is>
          <t>Donchian breakout</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DC_BREAK_FILTER_TF</t>
        </is>
      </c>
      <c r="P29" s="51" t="inlineStr">
        <is>
          <t>getattr(cfg,"DC_BREAK_FILTER_TF")</t>
        </is>
      </c>
      <c r="Q29" s="35" t="inlineStr">
        <is>
          <t>NO</t>
        </is>
      </c>
    </row>
    <row r="30" ht="15.75" customHeight="1" s="67">
      <c r="A30" s="54" t="n">
        <v>21</v>
      </c>
      <c r="B30" s="57" t="inlineStr">
        <is>
          <t>DC_BREAK_FILTER_TF</t>
        </is>
      </c>
      <c r="C30" s="49" t="inlineStr">
        <is>
          <t>15m</t>
        </is>
      </c>
      <c r="D30" s="56" t="inlineStr">
        <is>
          <t>Donchian break confirmation on FILTER_TF before breakout entry. | Live read: `RY_REENTRY_K15_HIGH_SIZE_FRAC', 'OBLIGATORY_REENTRY_LONG_ENABLED', 'OBLIGATORY_R`</t>
        </is>
      </c>
      <c r="E30" s="56" t="inlineStr">
        <is>
          <t>ENTRY, GLOBAL_CHECK, REENTRY, STOCKS_EXIT</t>
        </is>
      </c>
      <c r="F30" s="54" t="inlineStr">
        <is>
          <t>ENTRY, GLOBAL_CHECK, REENTRY, STOCKS_EXIT</t>
        </is>
      </c>
      <c r="G30" s="56" t="inlineStr">
        <is>
          <t>Donchian breakout</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DC_BREAK_FILTER_TF</t>
        </is>
      </c>
      <c r="P30" s="51" t="inlineStr">
        <is>
          <t>getattr(cfg,"DC_BREAK_FILTER_TF")</t>
        </is>
      </c>
      <c r="Q30" s="35" t="inlineStr">
        <is>
          <t>YES</t>
        </is>
      </c>
    </row>
    <row r="31" ht="15.75" customHeight="1" s="67">
      <c r="A31" s="54" t="n">
        <v>22</v>
      </c>
      <c r="B31" s="55" t="inlineStr">
        <is>
          <t>DC_MOMENTUM_BOTA_SCORER_FILTER_TF</t>
        </is>
      </c>
      <c r="C31" s="53" t="inlineStr">
        <is>
          <t>OFF</t>
        </is>
      </c>
      <c r="D31" s="56" t="inlineStr">
        <is>
          <t>BOTA momentum scorer confirmation on FILTER_TF. | Live read: `APTIVE_REGIME_SHARPE_FLOOR', 'BAND_ARROW_ENABLED', 'BAR_PATTERNS_FILTER_TF', 'BB`</t>
        </is>
      </c>
      <c r="E31" s="56" t="inlineStr">
        <is>
          <t>GLOBAL_CHECK</t>
        </is>
      </c>
      <c r="F31" s="54" t="inlineStr">
        <is>
          <t>GLOBAL_CHECK</t>
        </is>
      </c>
      <c r="G31" s="56" t="inlineStr">
        <is>
          <t>DC_MOMENTUM_BOTA_SCORER</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DC_MOMENTUM_BOTA_SCORER_FILTER_TF</t>
        </is>
      </c>
      <c r="P31" s="51" t="inlineStr">
        <is>
          <t>getattr(cfg,"DC_MOMENTUM_BOTA_SCORER_FILTER_TF")</t>
        </is>
      </c>
      <c r="Q31" s="35" t="inlineStr">
        <is>
          <t>NO</t>
        </is>
      </c>
    </row>
    <row r="32" ht="15.75" customHeight="1" s="67">
      <c r="A32" s="54" t="n">
        <v>22</v>
      </c>
      <c r="B32" s="55" t="inlineStr">
        <is>
          <t>DC_MOMENTUM_BOTA_SCORER_FILTER_TF</t>
        </is>
      </c>
      <c r="C32" s="53" t="inlineStr">
        <is>
          <t>D</t>
        </is>
      </c>
      <c r="D32" s="56" t="inlineStr">
        <is>
          <t>BOTA momentum scorer confirmation on FILTER_TF. | Live read: `APTIVE_REGIME_SHARPE_FLOOR', 'BAND_ARROW_ENABLED', 'BAR_PATTERNS_FILTER_TF', 'BB`</t>
        </is>
      </c>
      <c r="E32" s="56" t="inlineStr">
        <is>
          <t>GLOBAL_CHECK</t>
        </is>
      </c>
      <c r="F32" s="54" t="inlineStr">
        <is>
          <t>GLOBAL_CHECK</t>
        </is>
      </c>
      <c r="G32" s="56" t="inlineStr">
        <is>
          <t>DC_MOMENTUM_BOTA_SCORER</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DC_MOMENTUM_BOTA_SCORER_FILTER_TF</t>
        </is>
      </c>
      <c r="P32" s="51" t="inlineStr">
        <is>
          <t>getattr(cfg,"DC_MOMENTUM_BOTA_SCORER_FILTER_TF")</t>
        </is>
      </c>
      <c r="Q32" s="35" t="inlineStr">
        <is>
          <t>NO</t>
        </is>
      </c>
    </row>
    <row r="33" ht="15.75" customHeight="1" s="67">
      <c r="A33" s="54" t="n">
        <v>22</v>
      </c>
      <c r="B33" s="55" t="inlineStr">
        <is>
          <t>DC_MOMENTUM_BOTA_SCORER_FILTER_TF</t>
        </is>
      </c>
      <c r="C33" s="53" t="inlineStr">
        <is>
          <t>4h</t>
        </is>
      </c>
      <c r="D33" s="56" t="inlineStr">
        <is>
          <t>BOTA momentum scorer confirmation on FILTER_TF. | Live read: `APTIVE_REGIME_SHARPE_FLOOR', 'BAND_ARROW_ENABLED', 'BAR_PATTERNS_FILTER_TF', 'BB`</t>
        </is>
      </c>
      <c r="E33" s="56" t="inlineStr">
        <is>
          <t>GLOBAL_CHECK</t>
        </is>
      </c>
      <c r="F33" s="54" t="inlineStr">
        <is>
          <t>GLOBAL_CHECK</t>
        </is>
      </c>
      <c r="G33" s="56" t="inlineStr">
        <is>
          <t>DC_MOMENTUM_BOTA_SCORER</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DC_MOMENTUM_BOTA_SCORER_FILTER_TF</t>
        </is>
      </c>
      <c r="P33" s="51" t="inlineStr">
        <is>
          <t>getattr(cfg,"DC_MOMENTUM_BOTA_SCORER_FILTER_TF")</t>
        </is>
      </c>
      <c r="Q33" s="35" t="inlineStr">
        <is>
          <t>NO</t>
        </is>
      </c>
    </row>
    <row r="34" ht="15.75" customHeight="1" s="67">
      <c r="A34" s="54" t="n">
        <v>22</v>
      </c>
      <c r="B34" s="55" t="inlineStr">
        <is>
          <t>DC_MOMENTUM_BOTA_SCORER_FILTER_TF</t>
        </is>
      </c>
      <c r="C34" s="53" t="inlineStr">
        <is>
          <t>1h</t>
        </is>
      </c>
      <c r="D34" s="56" t="inlineStr">
        <is>
          <t>BOTA momentum scorer confirmation on FILTER_TF. | Live read: `APTIVE_REGIME_SHARPE_FLOOR', 'BAND_ARROW_ENABLED', 'BAR_PATTERNS_FILTER_TF', 'BB`</t>
        </is>
      </c>
      <c r="E34" s="56" t="inlineStr">
        <is>
          <t>GLOBAL_CHECK</t>
        </is>
      </c>
      <c r="F34" s="54" t="inlineStr">
        <is>
          <t>GLOBAL_CHECK</t>
        </is>
      </c>
      <c r="G34" s="56" t="inlineStr">
        <is>
          <t>DC_MOMENTUM_BOTA_SCORER</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DC_MOMENTUM_BOTA_SCORER_FILTER_TF</t>
        </is>
      </c>
      <c r="P34" s="51" t="inlineStr">
        <is>
          <t>getattr(cfg,"DC_MOMENTUM_BOTA_SCORER_FILTER_TF")</t>
        </is>
      </c>
      <c r="Q34" s="35" t="inlineStr">
        <is>
          <t>NO</t>
        </is>
      </c>
    </row>
    <row r="35" ht="15.75" customHeight="1" s="67">
      <c r="A35" s="54" t="n">
        <v>22</v>
      </c>
      <c r="B35" s="57" t="inlineStr">
        <is>
          <t>DC_MOMENTUM_BOTA_SCORER_FILTER_TF</t>
        </is>
      </c>
      <c r="C35" s="49" t="inlineStr">
        <is>
          <t>15m</t>
        </is>
      </c>
      <c r="D35" s="56" t="inlineStr">
        <is>
          <t>BOTA momentum scorer confirmation on FILTER_TF. | Live read: `APTIVE_REGIME_SHARPE_FLOOR', 'BAND_ARROW_ENABLED', 'BAR_PATTERNS_FILTER_TF', 'BB`</t>
        </is>
      </c>
      <c r="E35" s="56" t="inlineStr">
        <is>
          <t>GLOBAL_CHECK</t>
        </is>
      </c>
      <c r="F35" s="54" t="inlineStr">
        <is>
          <t>GLOBAL_CHECK</t>
        </is>
      </c>
      <c r="G35" s="56" t="inlineStr">
        <is>
          <t>DC_MOMENTUM_BOTA_SCORER</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DC_MOMENTUM_BOTA_SCORER_FILTER_TF</t>
        </is>
      </c>
      <c r="P35" s="51" t="inlineStr">
        <is>
          <t>getattr(cfg,"DC_MOMENTUM_BOTA_SCORER_FILTER_TF")</t>
        </is>
      </c>
      <c r="Q35" s="35" t="inlineStr">
        <is>
          <t>YES</t>
        </is>
      </c>
    </row>
    <row r="36" ht="15.75" customHeight="1" s="67">
      <c r="A36" s="54" t="n">
        <v>24</v>
      </c>
      <c r="B36" s="55" t="inlineStr">
        <is>
          <t>DELTA_ENGINE_FILTER_TF</t>
        </is>
      </c>
      <c r="C36" s="53" t="inlineStr">
        <is>
          <t>OFF</t>
        </is>
      </c>
      <c r="D36" s="56" t="inlineStr">
        <is>
          <t>Delta (order-flow) engine confirmation TF. | Live read: `LTER_TF', 'BB_PULLBACK_GATE_FILTER_TF', 'BB_PULLBACK_GATE_MIN_TFS', 'BB_RECOVERY`</t>
        </is>
      </c>
      <c r="E36" s="56" t="inlineStr">
        <is>
          <t>GLOBAL_CHECK</t>
        </is>
      </c>
      <c r="F36" s="54" t="inlineStr">
        <is>
          <t>GLOBAL_CHECK</t>
        </is>
      </c>
      <c r="G36" s="56" t="inlineStr">
        <is>
          <t>DELTA_ENGINE</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DELTA_ENGINE_FILTER_TF</t>
        </is>
      </c>
      <c r="P36" s="51" t="inlineStr">
        <is>
          <t>getattr(cfg,"DELTA_ENGINE_FILTER_TF")</t>
        </is>
      </c>
      <c r="Q36" s="35" t="inlineStr">
        <is>
          <t>NO</t>
        </is>
      </c>
    </row>
    <row r="37" ht="15.75" customHeight="1" s="67">
      <c r="A37" s="54" t="n">
        <v>24</v>
      </c>
      <c r="B37" s="55" t="inlineStr">
        <is>
          <t>DELTA_ENGINE_FILTER_TF</t>
        </is>
      </c>
      <c r="C37" s="53" t="inlineStr">
        <is>
          <t>D</t>
        </is>
      </c>
      <c r="D37" s="56" t="inlineStr">
        <is>
          <t>Delta (order-flow) engine confirmation TF. | Live read: `LTER_TF', 'BB_PULLBACK_GATE_FILTER_TF', 'BB_PULLBACK_GATE_MIN_TFS', 'BB_RECOVERY`</t>
        </is>
      </c>
      <c r="E37" s="56" t="inlineStr">
        <is>
          <t>GLOBAL_CHECK</t>
        </is>
      </c>
      <c r="F37" s="54" t="inlineStr">
        <is>
          <t>GLOBAL_CHECK</t>
        </is>
      </c>
      <c r="G37" s="56" t="inlineStr">
        <is>
          <t>DELTA_ENGINE</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DELTA_ENGINE_FILTER_TF</t>
        </is>
      </c>
      <c r="P37" s="51" t="inlineStr">
        <is>
          <t>getattr(cfg,"DELTA_ENGINE_FILTER_TF")</t>
        </is>
      </c>
      <c r="Q37" s="35" t="inlineStr">
        <is>
          <t>NO</t>
        </is>
      </c>
    </row>
    <row r="38" ht="15.75" customHeight="1" s="67">
      <c r="A38" s="54" t="n">
        <v>24</v>
      </c>
      <c r="B38" s="55" t="inlineStr">
        <is>
          <t>DELTA_ENGINE_FILTER_TF</t>
        </is>
      </c>
      <c r="C38" s="53" t="inlineStr">
        <is>
          <t>4h</t>
        </is>
      </c>
      <c r="D38" s="56" t="inlineStr">
        <is>
          <t>Delta (order-flow) engine confirmation TF. | Live read: `LTER_TF', 'BB_PULLBACK_GATE_FILTER_TF', 'BB_PULLBACK_GATE_MIN_TFS', 'BB_RECOVERY`</t>
        </is>
      </c>
      <c r="E38" s="56" t="inlineStr">
        <is>
          <t>GLOBAL_CHECK</t>
        </is>
      </c>
      <c r="F38" s="54" t="inlineStr">
        <is>
          <t>GLOBAL_CHECK</t>
        </is>
      </c>
      <c r="G38" s="56" t="inlineStr">
        <is>
          <t>DELTA_ENGINE</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DELTA_ENGINE_FILTER_TF</t>
        </is>
      </c>
      <c r="P38" s="51" t="inlineStr">
        <is>
          <t>getattr(cfg,"DELTA_ENGINE_FILTER_TF")</t>
        </is>
      </c>
      <c r="Q38" s="35" t="inlineStr">
        <is>
          <t>NO</t>
        </is>
      </c>
    </row>
    <row r="39" ht="15.75" customHeight="1" s="67">
      <c r="A39" s="54" t="n">
        <v>24</v>
      </c>
      <c r="B39" s="55" t="inlineStr">
        <is>
          <t>DELTA_ENGINE_FILTER_TF</t>
        </is>
      </c>
      <c r="C39" s="53" t="inlineStr">
        <is>
          <t>1h</t>
        </is>
      </c>
      <c r="D39" s="56" t="inlineStr">
        <is>
          <t>Delta (order-flow) engine confirmation TF. | Live read: `LTER_TF', 'BB_PULLBACK_GATE_FILTER_TF', 'BB_PULLBACK_GATE_MIN_TFS', 'BB_RECOVERY`</t>
        </is>
      </c>
      <c r="E39" s="56" t="inlineStr">
        <is>
          <t>GLOBAL_CHECK</t>
        </is>
      </c>
      <c r="F39" s="54" t="inlineStr">
        <is>
          <t>GLOBAL_CHECK</t>
        </is>
      </c>
      <c r="G39" s="56" t="inlineStr">
        <is>
          <t>DELTA_ENGINE</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DELTA_ENGINE_FILTER_TF</t>
        </is>
      </c>
      <c r="P39" s="51" t="inlineStr">
        <is>
          <t>getattr(cfg,"DELTA_ENGINE_FILTER_TF")</t>
        </is>
      </c>
      <c r="Q39" s="35" t="inlineStr">
        <is>
          <t>NO</t>
        </is>
      </c>
    </row>
    <row r="40" ht="15.75" customHeight="1" s="67">
      <c r="A40" s="54" t="n">
        <v>24</v>
      </c>
      <c r="B40" s="57" t="inlineStr">
        <is>
          <t>DELTA_ENGINE_FILTER_TF</t>
        </is>
      </c>
      <c r="C40" s="49" t="inlineStr">
        <is>
          <t>15m</t>
        </is>
      </c>
      <c r="D40" s="56" t="inlineStr">
        <is>
          <t>Delta (order-flow) engine confirmation TF. | Live read: `LTER_TF', 'BB_PULLBACK_GATE_FILTER_TF', 'BB_PULLBACK_GATE_MIN_TFS', 'BB_RECOVERY`</t>
        </is>
      </c>
      <c r="E40" s="56" t="inlineStr">
        <is>
          <t>GLOBAL_CHECK</t>
        </is>
      </c>
      <c r="F40" s="54" t="inlineStr">
        <is>
          <t>GLOBAL_CHECK</t>
        </is>
      </c>
      <c r="G40" s="56" t="inlineStr">
        <is>
          <t>DELTA_ENGINE</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DELTA_ENGINE_FILTER_TF</t>
        </is>
      </c>
      <c r="P40" s="51" t="inlineStr">
        <is>
          <t>getattr(cfg,"DELTA_ENGINE_FILTER_TF")</t>
        </is>
      </c>
      <c r="Q40" s="35" t="inlineStr">
        <is>
          <t>YES</t>
        </is>
      </c>
    </row>
    <row r="41" ht="15.75" customHeight="1" s="67">
      <c r="A41" s="54" t="n">
        <v>29</v>
      </c>
      <c r="B41" s="55" t="inlineStr">
        <is>
          <t>EMA_9_21_FILTER_FILTER_TF</t>
        </is>
      </c>
      <c r="C41" s="53" t="inlineStr">
        <is>
          <t>OFF</t>
        </is>
      </c>
      <c r="D41" s="56" t="inlineStr">
        <is>
          <t>EMA 9/21 cross filter on FILTER_TF. | Live read: `NFIRM_BARS', 'BTC_HARD_BLOCK_OTHER_ACCOUNTS', 'BTC_REGIME_PAUSE_ENABLED', 'BTC_R`</t>
        </is>
      </c>
      <c r="E41" s="56" t="inlineStr">
        <is>
          <t>GLOBAL_CHECK</t>
        </is>
      </c>
      <c r="F41" s="54" t="inlineStr">
        <is>
          <t>GLOBAL_CHECK</t>
        </is>
      </c>
      <c r="G41" s="56" t="inlineStr">
        <is>
          <t>EMA_9_21_FILTER</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EMA_9_21_FILTER_FILTER_TF</t>
        </is>
      </c>
      <c r="P41" s="51" t="inlineStr">
        <is>
          <t>getattr(cfg,"EMA_9_21_FILTER_FILTER_TF")</t>
        </is>
      </c>
      <c r="Q41" s="35" t="inlineStr">
        <is>
          <t>NO</t>
        </is>
      </c>
    </row>
    <row r="42" ht="15.75" customHeight="1" s="67">
      <c r="A42" s="54" t="n">
        <v>29</v>
      </c>
      <c r="B42" s="55" t="inlineStr">
        <is>
          <t>EMA_9_21_FILTER_FILTER_TF</t>
        </is>
      </c>
      <c r="C42" s="53" t="inlineStr">
        <is>
          <t>D</t>
        </is>
      </c>
      <c r="D42" s="56" t="inlineStr">
        <is>
          <t>EMA 9/21 cross filter on FILTER_TF. | Live read: `NFIRM_BARS', 'BTC_HARD_BLOCK_OTHER_ACCOUNTS', 'BTC_REGIME_PAUSE_ENABLED', 'BTC_R`</t>
        </is>
      </c>
      <c r="E42" s="56" t="inlineStr">
        <is>
          <t>GLOBAL_CHECK</t>
        </is>
      </c>
      <c r="F42" s="54" t="inlineStr">
        <is>
          <t>GLOBAL_CHECK</t>
        </is>
      </c>
      <c r="G42" s="56" t="inlineStr">
        <is>
          <t>EMA_9_21_FILTER</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EMA_9_21_FILTER_FILTER_TF</t>
        </is>
      </c>
      <c r="P42" s="51" t="inlineStr">
        <is>
          <t>getattr(cfg,"EMA_9_21_FILTER_FILTER_TF")</t>
        </is>
      </c>
      <c r="Q42" s="35" t="inlineStr">
        <is>
          <t>NO</t>
        </is>
      </c>
    </row>
    <row r="43" ht="15.75" customHeight="1" s="67">
      <c r="A43" s="54" t="n">
        <v>29</v>
      </c>
      <c r="B43" s="55" t="inlineStr">
        <is>
          <t>EMA_9_21_FILTER_FILTER_TF</t>
        </is>
      </c>
      <c r="C43" s="53" t="inlineStr">
        <is>
          <t>4h</t>
        </is>
      </c>
      <c r="D43" s="56" t="inlineStr">
        <is>
          <t>EMA 9/21 cross filter on FILTER_TF. | Live read: `NFIRM_BARS', 'BTC_HARD_BLOCK_OTHER_ACCOUNTS', 'BTC_REGIME_PAUSE_ENABLED', 'BTC_R`</t>
        </is>
      </c>
      <c r="E43" s="56" t="inlineStr">
        <is>
          <t>GLOBAL_CHECK</t>
        </is>
      </c>
      <c r="F43" s="54" t="inlineStr">
        <is>
          <t>GLOBAL_CHECK</t>
        </is>
      </c>
      <c r="G43" s="56" t="inlineStr">
        <is>
          <t>EMA_9_21_FILTER</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EMA_9_21_FILTER_FILTER_TF</t>
        </is>
      </c>
      <c r="P43" s="51" t="inlineStr">
        <is>
          <t>getattr(cfg,"EMA_9_21_FILTER_FILTER_TF")</t>
        </is>
      </c>
      <c r="Q43" s="35" t="inlineStr">
        <is>
          <t>NO</t>
        </is>
      </c>
    </row>
    <row r="44" ht="15.75" customHeight="1" s="67">
      <c r="A44" s="54" t="n">
        <v>29</v>
      </c>
      <c r="B44" s="55" t="inlineStr">
        <is>
          <t>EMA_9_21_FILTER_FILTER_TF</t>
        </is>
      </c>
      <c r="C44" s="53" t="inlineStr">
        <is>
          <t>1h</t>
        </is>
      </c>
      <c r="D44" s="56" t="inlineStr">
        <is>
          <t>EMA 9/21 cross filter on FILTER_TF. | Live read: `NFIRM_BARS', 'BTC_HARD_BLOCK_OTHER_ACCOUNTS', 'BTC_REGIME_PAUSE_ENABLED', 'BTC_R`</t>
        </is>
      </c>
      <c r="E44" s="56" t="inlineStr">
        <is>
          <t>GLOBAL_CHECK</t>
        </is>
      </c>
      <c r="F44" s="54" t="inlineStr">
        <is>
          <t>GLOBAL_CHECK</t>
        </is>
      </c>
      <c r="G44" s="56" t="inlineStr">
        <is>
          <t>EMA_9_21_FILTER</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EMA_9_21_FILTER_FILTER_TF</t>
        </is>
      </c>
      <c r="P44" s="51" t="inlineStr">
        <is>
          <t>getattr(cfg,"EMA_9_21_FILTER_FILTER_TF")</t>
        </is>
      </c>
      <c r="Q44" s="35" t="inlineStr">
        <is>
          <t>NO</t>
        </is>
      </c>
    </row>
    <row r="45" ht="15.75" customHeight="1" s="67">
      <c r="A45" s="54" t="n">
        <v>29</v>
      </c>
      <c r="B45" s="57" t="inlineStr">
        <is>
          <t>EMA_9_21_FILTER_FILTER_TF</t>
        </is>
      </c>
      <c r="C45" s="49" t="inlineStr">
        <is>
          <t>15m</t>
        </is>
      </c>
      <c r="D45" s="56" t="inlineStr">
        <is>
          <t>EMA 9/21 cross filter on FILTER_TF. | Live read: `NFIRM_BARS', 'BTC_HARD_BLOCK_OTHER_ACCOUNTS', 'BTC_REGIME_PAUSE_ENABLED', 'BTC_R`</t>
        </is>
      </c>
      <c r="E45" s="56" t="inlineStr">
        <is>
          <t>GLOBAL_CHECK</t>
        </is>
      </c>
      <c r="F45" s="54" t="inlineStr">
        <is>
          <t>GLOBAL_CHECK</t>
        </is>
      </c>
      <c r="G45" s="56" t="inlineStr">
        <is>
          <t>EMA_9_21_FILTER</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EMA_9_21_FILTER_FILTER_TF</t>
        </is>
      </c>
      <c r="P45" s="51" t="inlineStr">
        <is>
          <t>getattr(cfg,"EMA_9_21_FILTER_FILTER_TF")</t>
        </is>
      </c>
      <c r="Q45" s="35" t="inlineStr">
        <is>
          <t>YES</t>
        </is>
      </c>
    </row>
    <row r="46" ht="15.75" customHeight="1" s="67">
      <c r="A46" s="54" t="n">
        <v>32</v>
      </c>
      <c r="B46" s="55" t="inlineStr">
        <is>
          <t>EMA_BLANKET_FILTER_FILTER_TF</t>
        </is>
      </c>
      <c r="C46" s="53" t="inlineStr">
        <is>
          <t>OFF</t>
        </is>
      </c>
      <c r="D46"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46" s="56" t="inlineStr">
        <is>
          <t>GLOBAL_CHECK</t>
        </is>
      </c>
      <c r="F46" s="54" t="inlineStr">
        <is>
          <t>GLOBAL_CHECK</t>
        </is>
      </c>
      <c r="G46" s="56" t="inlineStr">
        <is>
          <t>EMA_BLANKET_FILTER</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EMA_BLANKET_FILTER_FILTER_TF</t>
        </is>
      </c>
      <c r="P46" s="51" t="inlineStr">
        <is>
          <t>getattr(cfg,"EMA_BLANKET_FILTER_FILTER_TF")</t>
        </is>
      </c>
      <c r="Q46" s="35" t="inlineStr">
        <is>
          <t>NO</t>
        </is>
      </c>
    </row>
    <row r="47" ht="15.75" customHeight="1" s="67">
      <c r="A47" s="54" t="n">
        <v>32</v>
      </c>
      <c r="B47" s="55" t="inlineStr">
        <is>
          <t>EMA_BLANKET_FILTER_FILTER_TF</t>
        </is>
      </c>
      <c r="C47" s="53" t="inlineStr">
        <is>
          <t>D</t>
        </is>
      </c>
      <c r="D47"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47" s="56" t="inlineStr">
        <is>
          <t>GLOBAL_CHECK</t>
        </is>
      </c>
      <c r="F47" s="54" t="inlineStr">
        <is>
          <t>GLOBAL_CHECK</t>
        </is>
      </c>
      <c r="G47" s="56" t="inlineStr">
        <is>
          <t>EMA_BLANKET_FILTER</t>
        </is>
      </c>
      <c r="H47" s="54" t="inlineStr">
        <is>
          <t>SPECIFIC — only gated switches</t>
        </is>
      </c>
      <c r="I47" s="54" t="inlineStr">
        <is>
          <t>LIVE — wired</t>
        </is>
      </c>
      <c r="J47" s="54" t="n"/>
      <c r="K47" s="51" t="inlineStr">
        <is>
          <t>1/4</t>
        </is>
      </c>
      <c r="L47" s="51" t="inlineStr">
        <is>
          <t>OFF, 15m, 1h, 4h, D (5 options)</t>
        </is>
      </c>
      <c r="M47" s="51" t="inlineStr">
        <is>
          <t>15m</t>
        </is>
      </c>
      <c r="N47" s="51" t="inlineStr">
        <is>
          <t>TF selector</t>
        </is>
      </c>
      <c r="O47" s="51" t="inlineStr">
        <is>
          <t>EMA_BLANKET_FILTER_FILTER_TF</t>
        </is>
      </c>
      <c r="P47" s="51" t="inlineStr">
        <is>
          <t>getattr(cfg,"EMA_BLANKET_FILTER_FILTER_TF")</t>
        </is>
      </c>
      <c r="Q47" s="35" t="inlineStr">
        <is>
          <t>NO</t>
        </is>
      </c>
    </row>
    <row r="48" ht="15.75" customHeight="1" s="67">
      <c r="A48" s="54" t="n">
        <v>32</v>
      </c>
      <c r="B48" s="55" t="inlineStr">
        <is>
          <t>EMA_BLANKET_FILTER_FILTER_TF</t>
        </is>
      </c>
      <c r="C48" s="53" t="inlineStr">
        <is>
          <t>4h</t>
        </is>
      </c>
      <c r="D48"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48" s="56" t="inlineStr">
        <is>
          <t>GLOBAL_CHECK</t>
        </is>
      </c>
      <c r="F48" s="54" t="inlineStr">
        <is>
          <t>GLOBAL_CHECK</t>
        </is>
      </c>
      <c r="G48" s="56" t="inlineStr">
        <is>
          <t>EMA_BLANKET_FILTER</t>
        </is>
      </c>
      <c r="H48" s="54" t="inlineStr">
        <is>
          <t>SPECIFIC — only gated switches</t>
        </is>
      </c>
      <c r="I48" s="54" t="inlineStr">
        <is>
          <t>LIVE — wired</t>
        </is>
      </c>
      <c r="J48" s="54" t="n"/>
      <c r="K48" s="51" t="inlineStr">
        <is>
          <t>1/4</t>
        </is>
      </c>
      <c r="L48" s="51" t="inlineStr">
        <is>
          <t>OFF, 15m, 1h, 4h, D (5 options)</t>
        </is>
      </c>
      <c r="M48" s="51" t="inlineStr">
        <is>
          <t>15m</t>
        </is>
      </c>
      <c r="N48" s="51" t="inlineStr">
        <is>
          <t>TF selector</t>
        </is>
      </c>
      <c r="O48" s="51" t="inlineStr">
        <is>
          <t>EMA_BLANKET_FILTER_FILTER_TF</t>
        </is>
      </c>
      <c r="P48" s="51" t="inlineStr">
        <is>
          <t>getattr(cfg,"EMA_BLANKET_FILTER_FILTER_TF")</t>
        </is>
      </c>
      <c r="Q48" s="35" t="inlineStr">
        <is>
          <t>NO</t>
        </is>
      </c>
    </row>
    <row r="49" ht="15.75" customHeight="1" s="67">
      <c r="A49" s="54" t="n">
        <v>32</v>
      </c>
      <c r="B49" s="55" t="inlineStr">
        <is>
          <t>EMA_BLANKET_FILTER_FILTER_TF</t>
        </is>
      </c>
      <c r="C49" s="53" t="inlineStr">
        <is>
          <t>1h</t>
        </is>
      </c>
      <c r="D49"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49" s="56" t="inlineStr">
        <is>
          <t>GLOBAL_CHECK</t>
        </is>
      </c>
      <c r="F49" s="54" t="inlineStr">
        <is>
          <t>GLOBAL_CHECK</t>
        </is>
      </c>
      <c r="G49" s="56" t="inlineStr">
        <is>
          <t>EMA_BLANKET_FILTER</t>
        </is>
      </c>
      <c r="H49" s="54" t="inlineStr">
        <is>
          <t>SPECIFIC — only gated switches</t>
        </is>
      </c>
      <c r="I49" s="54" t="inlineStr">
        <is>
          <t>LIVE — wired</t>
        </is>
      </c>
      <c r="J49" s="54" t="n"/>
      <c r="K49" s="51" t="inlineStr">
        <is>
          <t>1/4</t>
        </is>
      </c>
      <c r="L49" s="51" t="inlineStr">
        <is>
          <t>OFF, 15m, 1h, 4h, D (5 options)</t>
        </is>
      </c>
      <c r="M49" s="51" t="inlineStr">
        <is>
          <t>15m</t>
        </is>
      </c>
      <c r="N49" s="51" t="inlineStr">
        <is>
          <t>TF selector</t>
        </is>
      </c>
      <c r="O49" s="51" t="inlineStr">
        <is>
          <t>EMA_BLANKET_FILTER_FILTER_TF</t>
        </is>
      </c>
      <c r="P49" s="51" t="inlineStr">
        <is>
          <t>getattr(cfg,"EMA_BLANKET_FILTER_FILTER_TF")</t>
        </is>
      </c>
      <c r="Q49" s="35" t="inlineStr">
        <is>
          <t>NO</t>
        </is>
      </c>
    </row>
    <row r="50" ht="15.75" customHeight="1" s="67">
      <c r="A50" s="54" t="n">
        <v>32</v>
      </c>
      <c r="B50" s="57" t="inlineStr">
        <is>
          <t>EMA_BLANKET_FILTER_FILTER_TF</t>
        </is>
      </c>
      <c r="C50" s="49" t="inlineStr">
        <is>
          <t>15m</t>
        </is>
      </c>
      <c r="D5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50" s="56" t="inlineStr">
        <is>
          <t>GLOBAL_CHECK</t>
        </is>
      </c>
      <c r="F50" s="54" t="inlineStr">
        <is>
          <t>GLOBAL_CHECK</t>
        </is>
      </c>
      <c r="G50" s="56" t="inlineStr">
        <is>
          <t>EMA_BLANKET_FILTER</t>
        </is>
      </c>
      <c r="H50" s="54" t="inlineStr">
        <is>
          <t>SPECIFIC — only gated switches</t>
        </is>
      </c>
      <c r="I50" s="54" t="inlineStr">
        <is>
          <t>LIVE — wired</t>
        </is>
      </c>
      <c r="J50" s="54" t="n"/>
      <c r="K50" s="51" t="inlineStr">
        <is>
          <t>1/4</t>
        </is>
      </c>
      <c r="L50" s="51" t="inlineStr">
        <is>
          <t>OFF, 15m, 1h, 4h, D (5 options)</t>
        </is>
      </c>
      <c r="M50" s="51" t="inlineStr">
        <is>
          <t>15m</t>
        </is>
      </c>
      <c r="N50" s="51" t="inlineStr">
        <is>
          <t>TF selector</t>
        </is>
      </c>
      <c r="O50" s="51" t="inlineStr">
        <is>
          <t>EMA_BLANKET_FILTER_FILTER_TF</t>
        </is>
      </c>
      <c r="P50" s="51" t="inlineStr">
        <is>
          <t>getattr(cfg,"EMA_BLANKET_FILTER_FILTER_TF")</t>
        </is>
      </c>
      <c r="Q50" s="35" t="inlineStr">
        <is>
          <t>YES</t>
        </is>
      </c>
    </row>
    <row r="51" ht="15.75" customHeight="1" s="67">
      <c r="A51" s="54" t="n">
        <v>34</v>
      </c>
      <c r="B51" s="55" t="inlineStr">
        <is>
          <t>EMERGENCY_BRAKE_FILTER_TF</t>
        </is>
      </c>
      <c r="C51" s="53" t="inlineStr">
        <is>
          <t>OFF</t>
        </is>
      </c>
      <c r="D51" s="56" t="inlineStr">
        <is>
          <t>Emergency brake (kill switch) confirmation TF. | Live read: `SS_LADDER_FILTER_TF', 'CIRCUIT_SHARPE_GATES_ENABLED', 'CIRCUIT_SHARPE_GATES_FILT`</t>
        </is>
      </c>
      <c r="E51" s="56" t="inlineStr">
        <is>
          <t>GLOBAL_CHECK</t>
        </is>
      </c>
      <c r="F51" s="54" t="inlineStr">
        <is>
          <t>GLOBAL_CHECK</t>
        </is>
      </c>
      <c r="G51" s="56" t="inlineStr">
        <is>
          <t>EMERGENCY_BRAKE</t>
        </is>
      </c>
      <c r="H51" s="54" t="inlineStr">
        <is>
          <t>SPECIFIC — only gated switches</t>
        </is>
      </c>
      <c r="I51" s="54" t="inlineStr">
        <is>
          <t>LIVE — wired</t>
        </is>
      </c>
      <c r="J51" s="54" t="n"/>
      <c r="K51" s="51" t="inlineStr">
        <is>
          <t>1/4</t>
        </is>
      </c>
      <c r="L51" s="51" t="inlineStr">
        <is>
          <t>OFF, 15m, 1h, 4h, D (5 options)</t>
        </is>
      </c>
      <c r="M51" s="51" t="inlineStr">
        <is>
          <t>15m</t>
        </is>
      </c>
      <c r="N51" s="51" t="inlineStr">
        <is>
          <t>TF selector</t>
        </is>
      </c>
      <c r="O51" s="51" t="inlineStr">
        <is>
          <t>EMERGENCY_BRAKE_FILTER_TF</t>
        </is>
      </c>
      <c r="P51" s="51" t="inlineStr">
        <is>
          <t>getattr(cfg,"EMERGENCY_BRAKE_FILTER_TF")</t>
        </is>
      </c>
      <c r="Q51" s="35" t="inlineStr">
        <is>
          <t>NO</t>
        </is>
      </c>
    </row>
    <row r="52" ht="15.75" customHeight="1" s="67">
      <c r="A52" s="54" t="n">
        <v>34</v>
      </c>
      <c r="B52" s="55" t="inlineStr">
        <is>
          <t>EMERGENCY_BRAKE_FILTER_TF</t>
        </is>
      </c>
      <c r="C52" s="53" t="inlineStr">
        <is>
          <t>D</t>
        </is>
      </c>
      <c r="D52" s="56" t="inlineStr">
        <is>
          <t>Emergency brake (kill switch) confirmation TF. | Live read: `SS_LADDER_FILTER_TF', 'CIRCUIT_SHARPE_GATES_ENABLED', 'CIRCUIT_SHARPE_GATES_FILT`</t>
        </is>
      </c>
      <c r="E52" s="56" t="inlineStr">
        <is>
          <t>GLOBAL_CHECK</t>
        </is>
      </c>
      <c r="F52" s="54" t="inlineStr">
        <is>
          <t>GLOBAL_CHECK</t>
        </is>
      </c>
      <c r="G52" s="56" t="inlineStr">
        <is>
          <t>EMERGENCY_BRAKE</t>
        </is>
      </c>
      <c r="H52" s="54" t="inlineStr">
        <is>
          <t>SPECIFIC — only gated switches</t>
        </is>
      </c>
      <c r="I52" s="54" t="inlineStr">
        <is>
          <t>LIVE — wired</t>
        </is>
      </c>
      <c r="J52" s="54" t="n"/>
      <c r="K52" s="51" t="inlineStr">
        <is>
          <t>1/4</t>
        </is>
      </c>
      <c r="L52" s="51" t="inlineStr">
        <is>
          <t>OFF, 15m, 1h, 4h, D (5 options)</t>
        </is>
      </c>
      <c r="M52" s="51" t="inlineStr">
        <is>
          <t>15m</t>
        </is>
      </c>
      <c r="N52" s="51" t="inlineStr">
        <is>
          <t>TF selector</t>
        </is>
      </c>
      <c r="O52" s="51" t="inlineStr">
        <is>
          <t>EMERGENCY_BRAKE_FILTER_TF</t>
        </is>
      </c>
      <c r="P52" s="51" t="inlineStr">
        <is>
          <t>getattr(cfg,"EMERGENCY_BRAKE_FILTER_TF")</t>
        </is>
      </c>
      <c r="Q52" s="35" t="inlineStr">
        <is>
          <t>NO</t>
        </is>
      </c>
    </row>
    <row r="53" ht="15.75" customHeight="1" s="67">
      <c r="A53" s="54" t="n">
        <v>34</v>
      </c>
      <c r="B53" s="55" t="inlineStr">
        <is>
          <t>EMERGENCY_BRAKE_FILTER_TF</t>
        </is>
      </c>
      <c r="C53" s="53" t="inlineStr">
        <is>
          <t>4h</t>
        </is>
      </c>
      <c r="D53" s="56" t="inlineStr">
        <is>
          <t>Emergency brake (kill switch) confirmation TF. | Live read: `SS_LADDER_FILTER_TF', 'CIRCUIT_SHARPE_GATES_ENABLED', 'CIRCUIT_SHARPE_GATES_FILT`</t>
        </is>
      </c>
      <c r="E53" s="56" t="inlineStr">
        <is>
          <t>GLOBAL_CHECK</t>
        </is>
      </c>
      <c r="F53" s="54" t="inlineStr">
        <is>
          <t>GLOBAL_CHECK</t>
        </is>
      </c>
      <c r="G53" s="56" t="inlineStr">
        <is>
          <t>EMERGENCY_BRAKE</t>
        </is>
      </c>
      <c r="H53" s="54" t="inlineStr">
        <is>
          <t>SPECIFIC — only gated switches</t>
        </is>
      </c>
      <c r="I53" s="54" t="inlineStr">
        <is>
          <t>LIVE — wired</t>
        </is>
      </c>
      <c r="J53" s="54" t="n"/>
      <c r="K53" s="51" t="inlineStr">
        <is>
          <t>1/4</t>
        </is>
      </c>
      <c r="L53" s="51" t="inlineStr">
        <is>
          <t>OFF, 15m, 1h, 4h, D (5 options)</t>
        </is>
      </c>
      <c r="M53" s="51" t="inlineStr">
        <is>
          <t>15m</t>
        </is>
      </c>
      <c r="N53" s="51" t="inlineStr">
        <is>
          <t>TF selector</t>
        </is>
      </c>
      <c r="O53" s="51" t="inlineStr">
        <is>
          <t>EMERGENCY_BRAKE_FILTER_TF</t>
        </is>
      </c>
      <c r="P53" s="51" t="inlineStr">
        <is>
          <t>getattr(cfg,"EMERGENCY_BRAKE_FILTER_TF")</t>
        </is>
      </c>
      <c r="Q53" s="35" t="inlineStr">
        <is>
          <t>NO</t>
        </is>
      </c>
    </row>
    <row r="54" ht="15.75" customHeight="1" s="67">
      <c r="A54" s="54" t="n">
        <v>34</v>
      </c>
      <c r="B54" s="57" t="inlineStr">
        <is>
          <t>EMERGENCY_BRAKE_FILTER_TF</t>
        </is>
      </c>
      <c r="C54" s="49" t="inlineStr">
        <is>
          <t>15m</t>
        </is>
      </c>
      <c r="D54" s="56" t="inlineStr">
        <is>
          <t>Emergency brake (kill switch) confirmation TF. | Live read: `SS_LADDER_FILTER_TF', 'CIRCUIT_SHARPE_GATES_ENABLED', 'CIRCUIT_SHARPE_GATES_FILT`</t>
        </is>
      </c>
      <c r="E54" s="56" t="inlineStr">
        <is>
          <t>GLOBAL_CHECK</t>
        </is>
      </c>
      <c r="F54" s="54" t="inlineStr">
        <is>
          <t>GLOBAL_CHECK</t>
        </is>
      </c>
      <c r="G54" s="56" t="inlineStr">
        <is>
          <t>EMERGENCY_BRAKE</t>
        </is>
      </c>
      <c r="H54" s="54" t="inlineStr">
        <is>
          <t>SPECIFIC — only gated switches</t>
        </is>
      </c>
      <c r="I54" s="54" t="inlineStr">
        <is>
          <t>LIVE — wired</t>
        </is>
      </c>
      <c r="J54" s="54" t="n"/>
      <c r="K54" s="51" t="inlineStr">
        <is>
          <t>1/4</t>
        </is>
      </c>
      <c r="L54" s="51" t="inlineStr">
        <is>
          <t>OFF, 15m, 1h, 4h, D (5 options)</t>
        </is>
      </c>
      <c r="M54" s="51" t="inlineStr">
        <is>
          <t>15m</t>
        </is>
      </c>
      <c r="N54" s="51" t="inlineStr">
        <is>
          <t>TF selector</t>
        </is>
      </c>
      <c r="O54" s="51" t="inlineStr">
        <is>
          <t>EMERGENCY_BRAKE_FILTER_TF</t>
        </is>
      </c>
      <c r="P54" s="51" t="inlineStr">
        <is>
          <t>getattr(cfg,"EMERGENCY_BRAKE_FILTER_TF")</t>
        </is>
      </c>
      <c r="Q54" s="35" t="inlineStr">
        <is>
          <t>YES</t>
        </is>
      </c>
    </row>
    <row r="55" ht="15.75" customHeight="1" s="67">
      <c r="A55" s="54" t="n">
        <v>37</v>
      </c>
      <c r="B55" s="55" t="inlineStr">
        <is>
          <t>EXIT_R1_R2_FILTER_TF</t>
        </is>
      </c>
      <c r="C55" s="53" t="inlineStr">
        <is>
          <t>OFF</t>
        </is>
      </c>
      <c r="D55" s="56" t="inlineStr">
        <is>
          <t>Exit R1/R2 level confirmation TF. | Live read: `LESS_EXIT_ENABLED', 'DC_HOPELESS_EXIT_MIN_AGE_S', 'DC_LOW_FROZEN_STOP_TF', 'DC_R`</t>
        </is>
      </c>
      <c r="E55" s="56" t="inlineStr">
        <is>
          <t>GLOBAL_CHECK</t>
        </is>
      </c>
      <c r="F55" s="54" t="inlineStr">
        <is>
          <t>GLOBAL_CHECK</t>
        </is>
      </c>
      <c r="G55" s="56" t="inlineStr">
        <is>
          <t>EXIT_R1_R2</t>
        </is>
      </c>
      <c r="H55" s="54" t="inlineStr">
        <is>
          <t>SPECIFIC — only gated switches</t>
        </is>
      </c>
      <c r="I55" s="54" t="inlineStr">
        <is>
          <t>LIVE — wired</t>
        </is>
      </c>
      <c r="J55" s="54" t="n"/>
      <c r="K55" s="51" t="inlineStr">
        <is>
          <t>1/4</t>
        </is>
      </c>
      <c r="L55" s="51" t="inlineStr">
        <is>
          <t>OFF, 15m, 1h, 4h, D (5 options)</t>
        </is>
      </c>
      <c r="M55" s="51" t="inlineStr">
        <is>
          <t>15m</t>
        </is>
      </c>
      <c r="N55" s="51" t="inlineStr">
        <is>
          <t>TF selector</t>
        </is>
      </c>
      <c r="O55" s="51" t="inlineStr">
        <is>
          <t>EXIT_R1_R2_FILTER_TF</t>
        </is>
      </c>
      <c r="P55" s="51" t="inlineStr">
        <is>
          <t>getattr(cfg,"EXIT_R1_R2_FILTER_TF")</t>
        </is>
      </c>
      <c r="Q55" s="35" t="inlineStr">
        <is>
          <t>NO</t>
        </is>
      </c>
    </row>
    <row r="56" ht="15.75" customHeight="1" s="67">
      <c r="A56" s="54" t="n">
        <v>37</v>
      </c>
      <c r="B56" s="55" t="inlineStr">
        <is>
          <t>EXIT_R1_R2_FILTER_TF</t>
        </is>
      </c>
      <c r="C56" s="53" t="inlineStr">
        <is>
          <t>D</t>
        </is>
      </c>
      <c r="D56" s="56" t="inlineStr">
        <is>
          <t>Exit R1/R2 level confirmation TF. | Live read: `LESS_EXIT_ENABLED', 'DC_HOPELESS_EXIT_MIN_AGE_S', 'DC_LOW_FROZEN_STOP_TF', 'DC_R`</t>
        </is>
      </c>
      <c r="E56" s="56" t="inlineStr">
        <is>
          <t>GLOBAL_CHECK</t>
        </is>
      </c>
      <c r="F56" s="54" t="inlineStr">
        <is>
          <t>GLOBAL_CHECK</t>
        </is>
      </c>
      <c r="G56" s="56" t="inlineStr">
        <is>
          <t>EXIT_R1_R2</t>
        </is>
      </c>
      <c r="H56" s="54" t="inlineStr">
        <is>
          <t>SPECIFIC — only gated switches</t>
        </is>
      </c>
      <c r="I56" s="54" t="inlineStr">
        <is>
          <t>LIVE — wired</t>
        </is>
      </c>
      <c r="J56" s="54" t="n"/>
      <c r="K56" s="51" t="inlineStr">
        <is>
          <t>1/4</t>
        </is>
      </c>
      <c r="L56" s="51" t="inlineStr">
        <is>
          <t>OFF, 15m, 1h, 4h, D (5 options)</t>
        </is>
      </c>
      <c r="M56" s="51" t="inlineStr">
        <is>
          <t>15m</t>
        </is>
      </c>
      <c r="N56" s="51" t="inlineStr">
        <is>
          <t>TF selector</t>
        </is>
      </c>
      <c r="O56" s="51" t="inlineStr">
        <is>
          <t>EXIT_R1_R2_FILTER_TF</t>
        </is>
      </c>
      <c r="P56" s="51" t="inlineStr">
        <is>
          <t>getattr(cfg,"EXIT_R1_R2_FILTER_TF")</t>
        </is>
      </c>
      <c r="Q56" s="35" t="inlineStr">
        <is>
          <t>NO</t>
        </is>
      </c>
    </row>
    <row r="57" ht="15.75" customHeight="1" s="67">
      <c r="A57" s="54" t="n">
        <v>37</v>
      </c>
      <c r="B57" s="55" t="inlineStr">
        <is>
          <t>EXIT_R1_R2_FILTER_TF</t>
        </is>
      </c>
      <c r="C57" s="53" t="inlineStr">
        <is>
          <t>4h</t>
        </is>
      </c>
      <c r="D57" s="56" t="inlineStr">
        <is>
          <t>Exit R1/R2 level confirmation TF. | Live read: `LESS_EXIT_ENABLED', 'DC_HOPELESS_EXIT_MIN_AGE_S', 'DC_LOW_FROZEN_STOP_TF', 'DC_R`</t>
        </is>
      </c>
      <c r="E57" s="56" t="inlineStr">
        <is>
          <t>GLOBAL_CHECK</t>
        </is>
      </c>
      <c r="F57" s="54" t="inlineStr">
        <is>
          <t>GLOBAL_CHECK</t>
        </is>
      </c>
      <c r="G57" s="56" t="inlineStr">
        <is>
          <t>EXIT_R1_R2</t>
        </is>
      </c>
      <c r="H57" s="54" t="inlineStr">
        <is>
          <t>SPECIFIC — only gated switches</t>
        </is>
      </c>
      <c r="I57" s="54" t="inlineStr">
        <is>
          <t>LIVE — wired</t>
        </is>
      </c>
      <c r="J57" s="54" t="n"/>
      <c r="K57" s="51" t="inlineStr">
        <is>
          <t>1/4</t>
        </is>
      </c>
      <c r="L57" s="51" t="inlineStr">
        <is>
          <t>OFF, 15m, 1h, 4h, D (5 options)</t>
        </is>
      </c>
      <c r="M57" s="51" t="inlineStr">
        <is>
          <t>15m</t>
        </is>
      </c>
      <c r="N57" s="51" t="inlineStr">
        <is>
          <t>TF selector</t>
        </is>
      </c>
      <c r="O57" s="51" t="inlineStr">
        <is>
          <t>EXIT_R1_R2_FILTER_TF</t>
        </is>
      </c>
      <c r="P57" s="51" t="inlineStr">
        <is>
          <t>getattr(cfg,"EXIT_R1_R2_FILTER_TF")</t>
        </is>
      </c>
      <c r="Q57" s="35" t="inlineStr">
        <is>
          <t>NO</t>
        </is>
      </c>
    </row>
    <row r="58" ht="15.75" customHeight="1" s="67">
      <c r="A58" s="54" t="n">
        <v>37</v>
      </c>
      <c r="B58" s="55" t="inlineStr">
        <is>
          <t>EXIT_R1_R2_FILTER_TF</t>
        </is>
      </c>
      <c r="C58" s="53" t="inlineStr">
        <is>
          <t>1h</t>
        </is>
      </c>
      <c r="D58" s="56" t="inlineStr">
        <is>
          <t>Exit R1/R2 level confirmation TF. | Live read: `LESS_EXIT_ENABLED', 'DC_HOPELESS_EXIT_MIN_AGE_S', 'DC_LOW_FROZEN_STOP_TF', 'DC_R`</t>
        </is>
      </c>
      <c r="E58" s="56" t="inlineStr">
        <is>
          <t>GLOBAL_CHECK</t>
        </is>
      </c>
      <c r="F58" s="54" t="inlineStr">
        <is>
          <t>GLOBAL_CHECK</t>
        </is>
      </c>
      <c r="G58" s="56" t="inlineStr">
        <is>
          <t>EXIT_R1_R2</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EXIT_R1_R2_FILTER_TF</t>
        </is>
      </c>
      <c r="P58" s="51" t="inlineStr">
        <is>
          <t>getattr(cfg,"EXIT_R1_R2_FILTER_TF")</t>
        </is>
      </c>
      <c r="Q58" s="35" t="inlineStr">
        <is>
          <t>NO</t>
        </is>
      </c>
    </row>
    <row r="59" ht="15.75" customHeight="1" s="67">
      <c r="A59" s="54" t="n">
        <v>37</v>
      </c>
      <c r="B59" s="57" t="inlineStr">
        <is>
          <t>EXIT_R1_R2_FILTER_TF</t>
        </is>
      </c>
      <c r="C59" s="49" t="inlineStr">
        <is>
          <t>15m</t>
        </is>
      </c>
      <c r="D59" s="56" t="inlineStr">
        <is>
          <t>Exit R1/R2 level confirmation TF. | Live read: `LESS_EXIT_ENABLED', 'DC_HOPELESS_EXIT_MIN_AGE_S', 'DC_LOW_FROZEN_STOP_TF', 'DC_R`</t>
        </is>
      </c>
      <c r="E59" s="56" t="inlineStr">
        <is>
          <t>GLOBAL_CHECK</t>
        </is>
      </c>
      <c r="F59" s="54" t="inlineStr">
        <is>
          <t>GLOBAL_CHECK</t>
        </is>
      </c>
      <c r="G59" s="56" t="inlineStr">
        <is>
          <t>EXIT_R1_R2</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EXIT_R1_R2_FILTER_TF</t>
        </is>
      </c>
      <c r="P59" s="51" t="inlineStr">
        <is>
          <t>getattr(cfg,"EXIT_R1_R2_FILTER_TF")</t>
        </is>
      </c>
      <c r="Q59" s="35" t="inlineStr">
        <is>
          <t>YES</t>
        </is>
      </c>
    </row>
    <row r="60" ht="15.75" customHeight="1" s="67">
      <c r="A60" s="54" t="n">
        <v>38</v>
      </c>
      <c r="B60" s="55" t="inlineStr">
        <is>
          <t>EXIT_TIGHT_BREAKOUT_SCORER_FILTER_TF</t>
        </is>
      </c>
      <c r="C60" s="53" t="inlineStr">
        <is>
          <t>OFF</t>
        </is>
      </c>
      <c r="D60" s="56" t="inlineStr">
        <is>
          <t>Tight breakout scorer exit confirmation TF. | Live read: `T_SCORE_BONUS', 'DELTA_EXIT_SPEED_DECAY_MIN_GAIN', 'DELTA_EXIT_SPEED_DECAY_MIN_T`</t>
        </is>
      </c>
      <c r="E60" s="56" t="inlineStr">
        <is>
          <t>GLOBAL_CHECK</t>
        </is>
      </c>
      <c r="F60" s="54" t="inlineStr">
        <is>
          <t>GLOBAL_CHECK</t>
        </is>
      </c>
      <c r="G60" s="56" t="inlineStr">
        <is>
          <t>EXIT_TIGHT_BREAKOUT_SCORER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EXIT_TIGHT_BREAKOUT_SCORER_FILTER_TF</t>
        </is>
      </c>
      <c r="P60" s="51" t="inlineStr">
        <is>
          <t>getattr(cfg,"EXIT_TIGHT_BREAKOUT_SCORER_FILTER_TF")</t>
        </is>
      </c>
      <c r="Q60" s="35" t="inlineStr">
        <is>
          <t>NO</t>
        </is>
      </c>
    </row>
    <row r="61" ht="15.75" customHeight="1" s="67">
      <c r="A61" s="54" t="n">
        <v>38</v>
      </c>
      <c r="B61" s="55" t="inlineStr">
        <is>
          <t>EXIT_TIGHT_BREAKOUT_SCORER_FILTER_TF</t>
        </is>
      </c>
      <c r="C61" s="53" t="inlineStr">
        <is>
          <t>D</t>
        </is>
      </c>
      <c r="D61" s="56" t="inlineStr">
        <is>
          <t>Tight breakout scorer exit confirmation TF. | Live read: `T_SCORE_BONUS', 'DELTA_EXIT_SPEED_DECAY_MIN_GAIN', 'DELTA_EXIT_SPEED_DECAY_MIN_T`</t>
        </is>
      </c>
      <c r="E61" s="56" t="inlineStr">
        <is>
          <t>GLOBAL_CHECK</t>
        </is>
      </c>
      <c r="F61" s="54" t="inlineStr">
        <is>
          <t>GLOBAL_CHECK</t>
        </is>
      </c>
      <c r="G61" s="56" t="inlineStr">
        <is>
          <t>EXIT_TIGHT_BREAKOUT_SCORER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EXIT_TIGHT_BREAKOUT_SCORER_FILTER_TF</t>
        </is>
      </c>
      <c r="P61" s="51" t="inlineStr">
        <is>
          <t>getattr(cfg,"EXIT_TIGHT_BREAKOUT_SCORER_FILTER_TF")</t>
        </is>
      </c>
      <c r="Q61" s="35" t="inlineStr">
        <is>
          <t>NO</t>
        </is>
      </c>
    </row>
    <row r="62" ht="15.75" customHeight="1" s="67">
      <c r="A62" s="54" t="n">
        <v>38</v>
      </c>
      <c r="B62" s="55" t="inlineStr">
        <is>
          <t>EXIT_TIGHT_BREAKOUT_SCORER_FILTER_TF</t>
        </is>
      </c>
      <c r="C62" s="53" t="inlineStr">
        <is>
          <t>4h</t>
        </is>
      </c>
      <c r="D62" s="56" t="inlineStr">
        <is>
          <t>Tight breakout scorer exit confirmation TF. | Live read: `T_SCORE_BONUS', 'DELTA_EXIT_SPEED_DECAY_MIN_GAIN', 'DELTA_EXIT_SPEED_DECAY_MIN_T`</t>
        </is>
      </c>
      <c r="E62" s="56" t="inlineStr">
        <is>
          <t>GLOBAL_CHECK</t>
        </is>
      </c>
      <c r="F62" s="54" t="inlineStr">
        <is>
          <t>GLOBAL_CHECK</t>
        </is>
      </c>
      <c r="G62" s="56" t="inlineStr">
        <is>
          <t>EXIT_TIGHT_BREAKOUT_SCORER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EXIT_TIGHT_BREAKOUT_SCORER_FILTER_TF</t>
        </is>
      </c>
      <c r="P62" s="51" t="inlineStr">
        <is>
          <t>getattr(cfg,"EXIT_TIGHT_BREAKOUT_SCORER_FILTER_TF")</t>
        </is>
      </c>
      <c r="Q62" s="35" t="inlineStr">
        <is>
          <t>NO</t>
        </is>
      </c>
    </row>
    <row r="63" ht="15.75" customHeight="1" s="67">
      <c r="A63" s="54" t="n">
        <v>38</v>
      </c>
      <c r="B63" s="55" t="inlineStr">
        <is>
          <t>EXIT_TIGHT_BREAKOUT_SCORER_FILTER_TF</t>
        </is>
      </c>
      <c r="C63" s="53" t="inlineStr">
        <is>
          <t>1h</t>
        </is>
      </c>
      <c r="D63" s="56" t="inlineStr">
        <is>
          <t>Tight breakout scorer exit confirmation TF. | Live read: `T_SCORE_BONUS', 'DELTA_EXIT_SPEED_DECAY_MIN_GAIN', 'DELTA_EXIT_SPEED_DECAY_MIN_T`</t>
        </is>
      </c>
      <c r="E63" s="56" t="inlineStr">
        <is>
          <t>GLOBAL_CHECK</t>
        </is>
      </c>
      <c r="F63" s="54" t="inlineStr">
        <is>
          <t>GLOBAL_CHECK</t>
        </is>
      </c>
      <c r="G63" s="56" t="inlineStr">
        <is>
          <t>EXIT_TIGHT_BREAKOUT_SCORER</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EXIT_TIGHT_BREAKOUT_SCORER_FILTER_TF</t>
        </is>
      </c>
      <c r="P63" s="51" t="inlineStr">
        <is>
          <t>getattr(cfg,"EXIT_TIGHT_BREAKOUT_SCORER_FILTER_TF")</t>
        </is>
      </c>
      <c r="Q63" s="35" t="inlineStr">
        <is>
          <t>NO</t>
        </is>
      </c>
    </row>
    <row r="64" ht="15.75" customHeight="1" s="67">
      <c r="A64" s="54" t="n">
        <v>38</v>
      </c>
      <c r="B64" s="57" t="inlineStr">
        <is>
          <t>EXIT_TIGHT_BREAKOUT_SCORER_FILTER_TF</t>
        </is>
      </c>
      <c r="C64" s="49" t="inlineStr">
        <is>
          <t>15m</t>
        </is>
      </c>
      <c r="D64" s="56" t="inlineStr">
        <is>
          <t>Tight breakout scorer exit confirmation TF. | Live read: `T_SCORE_BONUS', 'DELTA_EXIT_SPEED_DECAY_MIN_GAIN', 'DELTA_EXIT_SPEED_DECAY_MIN_T`</t>
        </is>
      </c>
      <c r="E64" s="56" t="inlineStr">
        <is>
          <t>GLOBAL_CHECK</t>
        </is>
      </c>
      <c r="F64" s="54" t="inlineStr">
        <is>
          <t>GLOBAL_CHECK</t>
        </is>
      </c>
      <c r="G64" s="56" t="inlineStr">
        <is>
          <t>EXIT_TIGHT_BREAKOUT_SCORER</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EXIT_TIGHT_BREAKOUT_SCORER_FILTER_TF</t>
        </is>
      </c>
      <c r="P64" s="51" t="inlineStr">
        <is>
          <t>getattr(cfg,"EXIT_TIGHT_BREAKOUT_SCORER_FILTER_TF")</t>
        </is>
      </c>
      <c r="Q64" s="35" t="inlineStr">
        <is>
          <t>YES</t>
        </is>
      </c>
    </row>
    <row r="65" ht="15.75" customHeight="1" s="67">
      <c r="A65" s="54" t="n">
        <v>39</v>
      </c>
      <c r="B65" s="55" t="inlineStr">
        <is>
          <t>EXIT_TOP_FADE_FILTER_TF</t>
        </is>
      </c>
      <c r="C65" s="53" t="inlineStr">
        <is>
          <t>OFF</t>
        </is>
      </c>
      <c r="D65" s="56" t="inlineStr">
        <is>
          <t>Top-fade exit confirmation TF. | Live read: `DECAY_VEC_ENABLED', 'DELTA_EXIT_TF', 'DELTA_LT_EXIT_SPEED_PCT', 'DELTA_LT_EXIT_T`</t>
        </is>
      </c>
      <c r="E65" s="56" t="inlineStr">
        <is>
          <t>GLOBAL_CHECK</t>
        </is>
      </c>
      <c r="F65" s="54" t="inlineStr">
        <is>
          <t>GLOBAL_CHECK</t>
        </is>
      </c>
      <c r="G65" s="56" t="inlineStr">
        <is>
          <t>EXIT_TOP_FADE</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EXIT_TOP_FADE_FILTER_TF</t>
        </is>
      </c>
      <c r="P65" s="51" t="inlineStr">
        <is>
          <t>getattr(cfg,"EXIT_TOP_FADE_FILTER_TF")</t>
        </is>
      </c>
      <c r="Q65" s="35" t="inlineStr">
        <is>
          <t>NO</t>
        </is>
      </c>
    </row>
    <row r="66" ht="15.75" customHeight="1" s="67">
      <c r="A66" s="54" t="n">
        <v>39</v>
      </c>
      <c r="B66" s="55" t="inlineStr">
        <is>
          <t>EXIT_TOP_FADE_FILTER_TF</t>
        </is>
      </c>
      <c r="C66" s="53" t="inlineStr">
        <is>
          <t>D</t>
        </is>
      </c>
      <c r="D66" s="56" t="inlineStr">
        <is>
          <t>Top-fade exit confirmation TF. | Live read: `DECAY_VEC_ENABLED', 'DELTA_EXIT_TF', 'DELTA_LT_EXIT_SPEED_PCT', 'DELTA_LT_EXIT_T`</t>
        </is>
      </c>
      <c r="E66" s="56" t="inlineStr">
        <is>
          <t>GLOBAL_CHECK</t>
        </is>
      </c>
      <c r="F66" s="54" t="inlineStr">
        <is>
          <t>GLOBAL_CHECK</t>
        </is>
      </c>
      <c r="G66" s="56" t="inlineStr">
        <is>
          <t>EXIT_TOP_FADE</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EXIT_TOP_FADE_FILTER_TF</t>
        </is>
      </c>
      <c r="P66" s="51" t="inlineStr">
        <is>
          <t>getattr(cfg,"EXIT_TOP_FADE_FILTER_TF")</t>
        </is>
      </c>
      <c r="Q66" s="35" t="inlineStr">
        <is>
          <t>NO</t>
        </is>
      </c>
    </row>
    <row r="67" ht="15.75" customHeight="1" s="67">
      <c r="A67" s="54" t="n">
        <v>39</v>
      </c>
      <c r="B67" s="55" t="inlineStr">
        <is>
          <t>EXIT_TOP_FADE_FILTER_TF</t>
        </is>
      </c>
      <c r="C67" s="53" t="inlineStr">
        <is>
          <t>4h</t>
        </is>
      </c>
      <c r="D67" s="56" t="inlineStr">
        <is>
          <t>Top-fade exit confirmation TF. | Live read: `DECAY_VEC_ENABLED', 'DELTA_EXIT_TF', 'DELTA_LT_EXIT_SPEED_PCT', 'DELTA_LT_EXIT_T`</t>
        </is>
      </c>
      <c r="E67" s="56" t="inlineStr">
        <is>
          <t>GLOBAL_CHECK</t>
        </is>
      </c>
      <c r="F67" s="54" t="inlineStr">
        <is>
          <t>GLOBAL_CHECK</t>
        </is>
      </c>
      <c r="G67" s="56" t="inlineStr">
        <is>
          <t>EXIT_TOP_FADE</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EXIT_TOP_FADE_FILTER_TF</t>
        </is>
      </c>
      <c r="P67" s="51" t="inlineStr">
        <is>
          <t>getattr(cfg,"EXIT_TOP_FADE_FILTER_TF")</t>
        </is>
      </c>
      <c r="Q67" s="35" t="inlineStr">
        <is>
          <t>NO</t>
        </is>
      </c>
    </row>
    <row r="68" ht="15.75" customHeight="1" s="67">
      <c r="A68" s="54" t="n">
        <v>39</v>
      </c>
      <c r="B68" s="55" t="inlineStr">
        <is>
          <t>EXIT_TOP_FADE_FILTER_TF</t>
        </is>
      </c>
      <c r="C68" s="53" t="inlineStr">
        <is>
          <t>1h</t>
        </is>
      </c>
      <c r="D68" s="56" t="inlineStr">
        <is>
          <t>Top-fade exit confirmation TF. | Live read: `DECAY_VEC_ENABLED', 'DELTA_EXIT_TF', 'DELTA_LT_EXIT_SPEED_PCT', 'DELTA_LT_EXIT_T`</t>
        </is>
      </c>
      <c r="E68" s="56" t="inlineStr">
        <is>
          <t>GLOBAL_CHECK</t>
        </is>
      </c>
      <c r="F68" s="54" t="inlineStr">
        <is>
          <t>GLOBAL_CHECK</t>
        </is>
      </c>
      <c r="G68" s="56" t="inlineStr">
        <is>
          <t>EXIT_TOP_FADE</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EXIT_TOP_FADE_FILTER_TF</t>
        </is>
      </c>
      <c r="P68" s="51" t="inlineStr">
        <is>
          <t>getattr(cfg,"EXIT_TOP_FADE_FILTER_TF")</t>
        </is>
      </c>
      <c r="Q68" s="35" t="inlineStr">
        <is>
          <t>NO</t>
        </is>
      </c>
    </row>
    <row r="69" ht="15.75" customHeight="1" s="67">
      <c r="A69" s="54" t="n">
        <v>39</v>
      </c>
      <c r="B69" s="57" t="inlineStr">
        <is>
          <t>EXIT_TOP_FADE_FILTER_TF</t>
        </is>
      </c>
      <c r="C69" s="49" t="inlineStr">
        <is>
          <t>15m</t>
        </is>
      </c>
      <c r="D69" s="56" t="inlineStr">
        <is>
          <t>Top-fade exit confirmation TF. | Live read: `DECAY_VEC_ENABLED', 'DELTA_EXIT_TF', 'DELTA_LT_EXIT_SPEED_PCT', 'DELTA_LT_EXIT_T`</t>
        </is>
      </c>
      <c r="E69" s="56" t="inlineStr">
        <is>
          <t>GLOBAL_CHECK</t>
        </is>
      </c>
      <c r="F69" s="54" t="inlineStr">
        <is>
          <t>GLOBAL_CHECK</t>
        </is>
      </c>
      <c r="G69" s="56" t="inlineStr">
        <is>
          <t>EXIT_TOP_FADE</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EXIT_TOP_FADE_FILTER_TF</t>
        </is>
      </c>
      <c r="P69" s="51" t="inlineStr">
        <is>
          <t>getattr(cfg,"EXIT_TOP_FADE_FILTER_TF")</t>
        </is>
      </c>
      <c r="Q69" s="35" t="inlineStr">
        <is>
          <t>YES</t>
        </is>
      </c>
    </row>
    <row r="70" ht="15.75" customHeight="1" s="67">
      <c r="A70" s="54" t="n">
        <v>40</v>
      </c>
      <c r="B70" s="55" t="inlineStr">
        <is>
          <t>EXIT_TO_REDUCE_ADAPTER_FILTER_TF</t>
        </is>
      </c>
      <c r="C70" s="53" t="inlineStr">
        <is>
          <t>OFF</t>
        </is>
      </c>
      <c r="D70" s="56" t="inlineStr">
        <is>
          <t>Adapts exit signal into reduce (partial) on FILTER_TF. | Live read: `ELTA_LT_EXIT_TYPE', 'DELTA_OPTIONS_EXIT_TYPE', 'DYN_STRUCT_TRAIL_ENABLED', 'EMER`</t>
        </is>
      </c>
      <c r="E70" s="56" t="inlineStr">
        <is>
          <t>GLOBAL_CHECK</t>
        </is>
      </c>
      <c r="F70" s="54" t="inlineStr">
        <is>
          <t>GLOBAL_CHECK</t>
        </is>
      </c>
      <c r="G70" s="56" t="inlineStr">
        <is>
          <t>EXIT_TO_REDUCE_ADAPTER</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EXIT_TO_REDUCE_ADAPTER_FILTER_TF</t>
        </is>
      </c>
      <c r="P70" s="51" t="inlineStr">
        <is>
          <t>getattr(cfg,"EXIT_TO_REDUCE_ADAPTER_FILTER_TF")</t>
        </is>
      </c>
      <c r="Q70" s="35" t="inlineStr">
        <is>
          <t>NO</t>
        </is>
      </c>
    </row>
    <row r="71" ht="15.75" customHeight="1" s="67">
      <c r="A71" s="54" t="n">
        <v>40</v>
      </c>
      <c r="B71" s="55" t="inlineStr">
        <is>
          <t>EXIT_TO_REDUCE_ADAPTER_FILTER_TF</t>
        </is>
      </c>
      <c r="C71" s="53" t="inlineStr">
        <is>
          <t>D</t>
        </is>
      </c>
      <c r="D71" s="56" t="inlineStr">
        <is>
          <t>Adapts exit signal into reduce (partial) on FILTER_TF. | Live read: `ELTA_LT_EXIT_TYPE', 'DELTA_OPTIONS_EXIT_TYPE', 'DYN_STRUCT_TRAIL_ENABLED', 'EMER`</t>
        </is>
      </c>
      <c r="E71" s="56" t="inlineStr">
        <is>
          <t>GLOBAL_CHECK</t>
        </is>
      </c>
      <c r="F71" s="54" t="inlineStr">
        <is>
          <t>GLOBAL_CHECK</t>
        </is>
      </c>
      <c r="G71" s="56" t="inlineStr">
        <is>
          <t>EXIT_TO_REDUCE_ADAPTER</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EXIT_TO_REDUCE_ADAPTER_FILTER_TF</t>
        </is>
      </c>
      <c r="P71" s="51" t="inlineStr">
        <is>
          <t>getattr(cfg,"EXIT_TO_REDUCE_ADAPTER_FILTER_TF")</t>
        </is>
      </c>
      <c r="Q71" s="35" t="inlineStr">
        <is>
          <t>NO</t>
        </is>
      </c>
    </row>
    <row r="72" ht="15.75" customHeight="1" s="67">
      <c r="A72" s="54" t="n">
        <v>40</v>
      </c>
      <c r="B72" s="55" t="inlineStr">
        <is>
          <t>EXIT_TO_REDUCE_ADAPTER_FILTER_TF</t>
        </is>
      </c>
      <c r="C72" s="53" t="inlineStr">
        <is>
          <t>4h</t>
        </is>
      </c>
      <c r="D72" s="56" t="inlineStr">
        <is>
          <t>Adapts exit signal into reduce (partial) on FILTER_TF. | Live read: `ELTA_LT_EXIT_TYPE', 'DELTA_OPTIONS_EXIT_TYPE', 'DYN_STRUCT_TRAIL_ENABLED', 'EMER`</t>
        </is>
      </c>
      <c r="E72" s="56" t="inlineStr">
        <is>
          <t>GLOBAL_CHECK</t>
        </is>
      </c>
      <c r="F72" s="54" t="inlineStr">
        <is>
          <t>GLOBAL_CHECK</t>
        </is>
      </c>
      <c r="G72" s="56" t="inlineStr">
        <is>
          <t>EXIT_TO_REDUCE_ADAPTER</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EXIT_TO_REDUCE_ADAPTER_FILTER_TF</t>
        </is>
      </c>
      <c r="P72" s="51" t="inlineStr">
        <is>
          <t>getattr(cfg,"EXIT_TO_REDUCE_ADAPTER_FILTER_TF")</t>
        </is>
      </c>
      <c r="Q72" s="35" t="inlineStr">
        <is>
          <t>NO</t>
        </is>
      </c>
    </row>
    <row r="73" ht="15.75" customHeight="1" s="67">
      <c r="A73" s="54" t="n">
        <v>40</v>
      </c>
      <c r="B73" s="55" t="inlineStr">
        <is>
          <t>EXIT_TO_REDUCE_ADAPTER_FILTER_TF</t>
        </is>
      </c>
      <c r="C73" s="53" t="inlineStr">
        <is>
          <t>1h</t>
        </is>
      </c>
      <c r="D73" s="56" t="inlineStr">
        <is>
          <t>Adapts exit signal into reduce (partial) on FILTER_TF. | Live read: `ELTA_LT_EXIT_TYPE', 'DELTA_OPTIONS_EXIT_TYPE', 'DYN_STRUCT_TRAIL_ENABLED', 'EMER`</t>
        </is>
      </c>
      <c r="E73" s="56" t="inlineStr">
        <is>
          <t>GLOBAL_CHECK</t>
        </is>
      </c>
      <c r="F73" s="54" t="inlineStr">
        <is>
          <t>GLOBAL_CHECK</t>
        </is>
      </c>
      <c r="G73" s="56" t="inlineStr">
        <is>
          <t>EXIT_TO_REDUCE_ADAPTER</t>
        </is>
      </c>
      <c r="H73" s="54" t="inlineStr">
        <is>
          <t>SPECIFIC — only gated switches</t>
        </is>
      </c>
      <c r="I73" s="54" t="inlineStr">
        <is>
          <t>LIVE — wired</t>
        </is>
      </c>
      <c r="J73" s="54" t="n"/>
      <c r="K73" s="51" t="inlineStr">
        <is>
          <t>1/4</t>
        </is>
      </c>
      <c r="L73" s="51" t="inlineStr">
        <is>
          <t>OFF, 15m, 1h, 4h, D (5 options)</t>
        </is>
      </c>
      <c r="M73" s="51" t="inlineStr">
        <is>
          <t>15m</t>
        </is>
      </c>
      <c r="N73" s="51" t="inlineStr">
        <is>
          <t>TF selector</t>
        </is>
      </c>
      <c r="O73" s="51" t="inlineStr">
        <is>
          <t>EXIT_TO_REDUCE_ADAPTER_FILTER_TF</t>
        </is>
      </c>
      <c r="P73" s="51" t="inlineStr">
        <is>
          <t>getattr(cfg,"EXIT_TO_REDUCE_ADAPTER_FILTER_TF")</t>
        </is>
      </c>
      <c r="Q73" s="35" t="inlineStr">
        <is>
          <t>NO</t>
        </is>
      </c>
    </row>
    <row r="74" ht="15.75" customHeight="1" s="67">
      <c r="A74" s="54" t="n">
        <v>40</v>
      </c>
      <c r="B74" s="57" t="inlineStr">
        <is>
          <t>EXIT_TO_REDUCE_ADAPTER_FILTER_TF</t>
        </is>
      </c>
      <c r="C74" s="49" t="inlineStr">
        <is>
          <t>15m</t>
        </is>
      </c>
      <c r="D74" s="56" t="inlineStr">
        <is>
          <t>Adapts exit signal into reduce (partial) on FILTER_TF. | Live read: `ELTA_LT_EXIT_TYPE', 'DELTA_OPTIONS_EXIT_TYPE', 'DYN_STRUCT_TRAIL_ENABLED', 'EMER`</t>
        </is>
      </c>
      <c r="E74" s="56" t="inlineStr">
        <is>
          <t>GLOBAL_CHECK</t>
        </is>
      </c>
      <c r="F74" s="54" t="inlineStr">
        <is>
          <t>GLOBAL_CHECK</t>
        </is>
      </c>
      <c r="G74" s="56" t="inlineStr">
        <is>
          <t>EXIT_TO_REDUCE_ADAPTER</t>
        </is>
      </c>
      <c r="H74" s="54" t="inlineStr">
        <is>
          <t>SPECIFIC — only gated switches</t>
        </is>
      </c>
      <c r="I74" s="54" t="inlineStr">
        <is>
          <t>LIVE — wired</t>
        </is>
      </c>
      <c r="J74" s="54" t="n"/>
      <c r="K74" s="51" t="inlineStr">
        <is>
          <t>1/4</t>
        </is>
      </c>
      <c r="L74" s="51" t="inlineStr">
        <is>
          <t>OFF, 15m, 1h, 4h, D (5 options)</t>
        </is>
      </c>
      <c r="M74" s="51" t="inlineStr">
        <is>
          <t>15m</t>
        </is>
      </c>
      <c r="N74" s="51" t="inlineStr">
        <is>
          <t>TF selector</t>
        </is>
      </c>
      <c r="O74" s="51" t="inlineStr">
        <is>
          <t>EXIT_TO_REDUCE_ADAPTER_FILTER_TF</t>
        </is>
      </c>
      <c r="P74" s="51" t="inlineStr">
        <is>
          <t>getattr(cfg,"EXIT_TO_REDUCE_ADAPTER_FILTER_TF")</t>
        </is>
      </c>
      <c r="Q74" s="35" t="inlineStr">
        <is>
          <t>YES</t>
        </is>
      </c>
    </row>
    <row r="75" ht="15.75" customHeight="1" s="67">
      <c r="A75" s="54" t="n">
        <v>45</v>
      </c>
      <c r="B75" s="55" t="inlineStr">
        <is>
          <t>FH_MOMENTUM_FILTER_TF</t>
        </is>
      </c>
      <c r="C75" s="53" t="inlineStr">
        <is>
          <t>OFF</t>
        </is>
      </c>
      <c r="D75" s="56" t="inlineStr">
        <is>
          <t>FH momentum confirmation TF. | Live read: `_SHARPE_GATES_MIN_TFS', 'COOLDOWN_LOCKS_FILTER_TF', 'CRYPTO_SPIKE_FADE_THRESHOLD`</t>
        </is>
      </c>
      <c r="E75" s="56" t="inlineStr">
        <is>
          <t>GLOBAL_CHECK</t>
        </is>
      </c>
      <c r="F75" s="54" t="inlineStr">
        <is>
          <t>GLOBAL_CHECK</t>
        </is>
      </c>
      <c r="G75" s="56" t="inlineStr">
        <is>
          <t>FH_MOMENTUM</t>
        </is>
      </c>
      <c r="H75" s="54" t="inlineStr">
        <is>
          <t>SPECIFIC — only gated switches</t>
        </is>
      </c>
      <c r="I75" s="54" t="inlineStr">
        <is>
          <t>LIVE — wired</t>
        </is>
      </c>
      <c r="J75" s="54" t="n"/>
      <c r="K75" s="51" t="inlineStr">
        <is>
          <t>1/4</t>
        </is>
      </c>
      <c r="L75" s="51" t="inlineStr">
        <is>
          <t>OFF, 15m, 1h, 4h, D (5 options)</t>
        </is>
      </c>
      <c r="M75" s="51" t="inlineStr">
        <is>
          <t>15m</t>
        </is>
      </c>
      <c r="N75" s="51" t="inlineStr">
        <is>
          <t>TF selector</t>
        </is>
      </c>
      <c r="O75" s="51" t="inlineStr">
        <is>
          <t>FH_MOMENTUM_FILTER_TF</t>
        </is>
      </c>
      <c r="P75" s="51" t="inlineStr">
        <is>
          <t>getattr(cfg,"FH_MOMENTUM_FILTER_TF")</t>
        </is>
      </c>
      <c r="Q75" s="35" t="inlineStr">
        <is>
          <t>NO</t>
        </is>
      </c>
    </row>
    <row r="76" ht="15.75" customHeight="1" s="67">
      <c r="A76" s="54" t="n">
        <v>45</v>
      </c>
      <c r="B76" s="55" t="inlineStr">
        <is>
          <t>FH_MOMENTUM_FILTER_TF</t>
        </is>
      </c>
      <c r="C76" s="53" t="inlineStr">
        <is>
          <t>D</t>
        </is>
      </c>
      <c r="D76" s="56" t="inlineStr">
        <is>
          <t>FH momentum confirmation TF. | Live read: `_SHARPE_GATES_MIN_TFS', 'COOLDOWN_LOCKS_FILTER_TF', 'CRYPTO_SPIKE_FADE_THRESHOLD`</t>
        </is>
      </c>
      <c r="E76" s="56" t="inlineStr">
        <is>
          <t>GLOBAL_CHECK</t>
        </is>
      </c>
      <c r="F76" s="54" t="inlineStr">
        <is>
          <t>GLOBAL_CHECK</t>
        </is>
      </c>
      <c r="G76" s="56" t="inlineStr">
        <is>
          <t>FH_MOMENTUM</t>
        </is>
      </c>
      <c r="H76" s="54" t="inlineStr">
        <is>
          <t>SPECIFIC — only gated switches</t>
        </is>
      </c>
      <c r="I76" s="54" t="inlineStr">
        <is>
          <t>LIVE — wired</t>
        </is>
      </c>
      <c r="J76" s="54" t="n"/>
      <c r="K76" s="51" t="inlineStr">
        <is>
          <t>1/4</t>
        </is>
      </c>
      <c r="L76" s="51" t="inlineStr">
        <is>
          <t>OFF, 15m, 1h, 4h, D (5 options)</t>
        </is>
      </c>
      <c r="M76" s="51" t="inlineStr">
        <is>
          <t>15m</t>
        </is>
      </c>
      <c r="N76" s="51" t="inlineStr">
        <is>
          <t>TF selector</t>
        </is>
      </c>
      <c r="O76" s="51" t="inlineStr">
        <is>
          <t>FH_MOMENTUM_FILTER_TF</t>
        </is>
      </c>
      <c r="P76" s="51" t="inlineStr">
        <is>
          <t>getattr(cfg,"FH_MOMENTUM_FILTER_TF")</t>
        </is>
      </c>
      <c r="Q76" s="35" t="inlineStr">
        <is>
          <t>NO</t>
        </is>
      </c>
    </row>
    <row r="77" ht="15.75" customHeight="1" s="67">
      <c r="A77" s="54" t="n">
        <v>45</v>
      </c>
      <c r="B77" s="55" t="inlineStr">
        <is>
          <t>FH_MOMENTUM_FILTER_TF</t>
        </is>
      </c>
      <c r="C77" s="53" t="inlineStr">
        <is>
          <t>4h</t>
        </is>
      </c>
      <c r="D77" s="56" t="inlineStr">
        <is>
          <t>FH momentum confirmation TF. | Live read: `_SHARPE_GATES_MIN_TFS', 'COOLDOWN_LOCKS_FILTER_TF', 'CRYPTO_SPIKE_FADE_THRESHOLD`</t>
        </is>
      </c>
      <c r="E77" s="56" t="inlineStr">
        <is>
          <t>GLOBAL_CHECK</t>
        </is>
      </c>
      <c r="F77" s="54" t="inlineStr">
        <is>
          <t>GLOBAL_CHECK</t>
        </is>
      </c>
      <c r="G77" s="56" t="inlineStr">
        <is>
          <t>FH_MOMENTUM</t>
        </is>
      </c>
      <c r="H77" s="54" t="inlineStr">
        <is>
          <t>SPECIFIC — only gated switches</t>
        </is>
      </c>
      <c r="I77" s="54" t="inlineStr">
        <is>
          <t>LIVE — wired</t>
        </is>
      </c>
      <c r="J77" s="54" t="n"/>
      <c r="K77" s="51" t="inlineStr">
        <is>
          <t>1/4</t>
        </is>
      </c>
      <c r="L77" s="51" t="inlineStr">
        <is>
          <t>OFF, 15m, 1h, 4h, D (5 options)</t>
        </is>
      </c>
      <c r="M77" s="51" t="inlineStr">
        <is>
          <t>15m</t>
        </is>
      </c>
      <c r="N77" s="51" t="inlineStr">
        <is>
          <t>TF selector</t>
        </is>
      </c>
      <c r="O77" s="51" t="inlineStr">
        <is>
          <t>FH_MOMENTUM_FILTER_TF</t>
        </is>
      </c>
      <c r="P77" s="51" t="inlineStr">
        <is>
          <t>getattr(cfg,"FH_MOMENTUM_FILTER_TF")</t>
        </is>
      </c>
      <c r="Q77" s="35" t="inlineStr">
        <is>
          <t>NO</t>
        </is>
      </c>
    </row>
    <row r="78" ht="15.75" customHeight="1" s="67">
      <c r="A78" s="54" t="n">
        <v>45</v>
      </c>
      <c r="B78" s="55" t="inlineStr">
        <is>
          <t>FH_MOMENTUM_FILTER_TF</t>
        </is>
      </c>
      <c r="C78" s="53" t="inlineStr">
        <is>
          <t>1h</t>
        </is>
      </c>
      <c r="D78" s="56" t="inlineStr">
        <is>
          <t>FH momentum confirmation TF. | Live read: `_SHARPE_GATES_MIN_TFS', 'COOLDOWN_LOCKS_FILTER_TF', 'CRYPTO_SPIKE_FADE_THRESHOLD`</t>
        </is>
      </c>
      <c r="E78" s="56" t="inlineStr">
        <is>
          <t>GLOBAL_CHECK</t>
        </is>
      </c>
      <c r="F78" s="54" t="inlineStr">
        <is>
          <t>GLOBAL_CHECK</t>
        </is>
      </c>
      <c r="G78" s="56" t="inlineStr">
        <is>
          <t>FH_MOMENTUM</t>
        </is>
      </c>
      <c r="H78" s="54" t="inlineStr">
        <is>
          <t>SPECIFIC — only gated switches</t>
        </is>
      </c>
      <c r="I78" s="54" t="inlineStr">
        <is>
          <t>LIVE — wired</t>
        </is>
      </c>
      <c r="J78" s="54" t="n"/>
      <c r="K78" s="51" t="inlineStr">
        <is>
          <t>1/4</t>
        </is>
      </c>
      <c r="L78" s="51" t="inlineStr">
        <is>
          <t>OFF, 15m, 1h, 4h, D (5 options)</t>
        </is>
      </c>
      <c r="M78" s="51" t="inlineStr">
        <is>
          <t>15m</t>
        </is>
      </c>
      <c r="N78" s="51" t="inlineStr">
        <is>
          <t>TF selector</t>
        </is>
      </c>
      <c r="O78" s="51" t="inlineStr">
        <is>
          <t>FH_MOMENTUM_FILTER_TF</t>
        </is>
      </c>
      <c r="P78" s="51" t="inlineStr">
        <is>
          <t>getattr(cfg,"FH_MOMENTUM_FILTER_TF")</t>
        </is>
      </c>
      <c r="Q78" s="35" t="inlineStr">
        <is>
          <t>NO</t>
        </is>
      </c>
    </row>
    <row r="79" ht="15.75" customHeight="1" s="67">
      <c r="A79" s="54" t="n">
        <v>45</v>
      </c>
      <c r="B79" s="57" t="inlineStr">
        <is>
          <t>FH_MOMENTUM_FILTER_TF</t>
        </is>
      </c>
      <c r="C79" s="49" t="inlineStr">
        <is>
          <t>15m</t>
        </is>
      </c>
      <c r="D79" s="56" t="inlineStr">
        <is>
          <t>FH momentum confirmation TF. | Live read: `_SHARPE_GATES_MIN_TFS', 'COOLDOWN_LOCKS_FILTER_TF', 'CRYPTO_SPIKE_FADE_THRESHOLD`</t>
        </is>
      </c>
      <c r="E79" s="56" t="inlineStr">
        <is>
          <t>GLOBAL_CHECK</t>
        </is>
      </c>
      <c r="F79" s="54" t="inlineStr">
        <is>
          <t>GLOBAL_CHECK</t>
        </is>
      </c>
      <c r="G79" s="56" t="inlineStr">
        <is>
          <t>FH_MOMENTUM</t>
        </is>
      </c>
      <c r="H79" s="54" t="inlineStr">
        <is>
          <t>SPECIFIC — only gated switches</t>
        </is>
      </c>
      <c r="I79" s="54" t="inlineStr">
        <is>
          <t>LIVE — wired</t>
        </is>
      </c>
      <c r="J79" s="54" t="n"/>
      <c r="K79" s="51" t="inlineStr">
        <is>
          <t>1/4</t>
        </is>
      </c>
      <c r="L79" s="51" t="inlineStr">
        <is>
          <t>OFF, 15m, 1h, 4h, D (5 options)</t>
        </is>
      </c>
      <c r="M79" s="51" t="inlineStr">
        <is>
          <t>15m</t>
        </is>
      </c>
      <c r="N79" s="51" t="inlineStr">
        <is>
          <t>TF selector</t>
        </is>
      </c>
      <c r="O79" s="51" t="inlineStr">
        <is>
          <t>FH_MOMENTUM_FILTER_TF</t>
        </is>
      </c>
      <c r="P79" s="51" t="inlineStr">
        <is>
          <t>getattr(cfg,"FH_MOMENTUM_FILTER_TF")</t>
        </is>
      </c>
      <c r="Q79" s="35" t="inlineStr">
        <is>
          <t>YES</t>
        </is>
      </c>
    </row>
    <row r="80" ht="15.75" customHeight="1" s="67">
      <c r="A80" s="54" t="n">
        <v>46</v>
      </c>
      <c r="B80" s="55" t="inlineStr">
        <is>
          <t>FIRST_OPEN_THROTTLE_FILTER_TF</t>
        </is>
      </c>
      <c r="C80" s="53" t="inlineStr">
        <is>
          <t>OFF</t>
        </is>
      </c>
      <c r="D80" s="56" t="inlineStr">
        <is>
          <t>Throttles first open after cooldown on FILTER_TF. | Live read: `SHOLD', 'ENTRY_BB_SQUEEZE_LOOKBACK', 'ENTRY_BB_SQUEEZE_RATIO', 'ENTRY_BB_SQUEEZE`</t>
        </is>
      </c>
      <c r="E80" s="56" t="inlineStr">
        <is>
          <t>GLOBAL_CHECK</t>
        </is>
      </c>
      <c r="F80" s="54" t="inlineStr">
        <is>
          <t>GLOBAL_CHECK</t>
        </is>
      </c>
      <c r="G80" s="56" t="inlineStr">
        <is>
          <t>FIRST_OPEN_THROTTLE</t>
        </is>
      </c>
      <c r="H80" s="54" t="inlineStr">
        <is>
          <t>SPECIFIC — only gated switches</t>
        </is>
      </c>
      <c r="I80" s="54" t="inlineStr">
        <is>
          <t>LIVE — wired</t>
        </is>
      </c>
      <c r="J80" s="54" t="n"/>
      <c r="K80" s="51" t="inlineStr">
        <is>
          <t>1/4</t>
        </is>
      </c>
      <c r="L80" s="51" t="inlineStr">
        <is>
          <t>OFF, 15m, 1h, 4h, D (5 options)</t>
        </is>
      </c>
      <c r="M80" s="51" t="inlineStr">
        <is>
          <t>15m</t>
        </is>
      </c>
      <c r="N80" s="51" t="inlineStr">
        <is>
          <t>TF selector</t>
        </is>
      </c>
      <c r="O80" s="51" t="inlineStr">
        <is>
          <t>FIRST_OPEN_THROTTLE_FILTER_TF</t>
        </is>
      </c>
      <c r="P80" s="51" t="inlineStr">
        <is>
          <t>getattr(cfg,"FIRST_OPEN_THROTTLE_FILTER_TF")</t>
        </is>
      </c>
      <c r="Q80" s="35" t="inlineStr">
        <is>
          <t>NO</t>
        </is>
      </c>
    </row>
    <row r="81" ht="15.75" customHeight="1" s="67">
      <c r="A81" s="54" t="n">
        <v>46</v>
      </c>
      <c r="B81" s="55" t="inlineStr">
        <is>
          <t>FIRST_OPEN_THROTTLE_FILTER_TF</t>
        </is>
      </c>
      <c r="C81" s="53" t="inlineStr">
        <is>
          <t>D</t>
        </is>
      </c>
      <c r="D81" s="56" t="inlineStr">
        <is>
          <t>Throttles first open after cooldown on FILTER_TF. | Live read: `SHOLD', 'ENTRY_BB_SQUEEZE_LOOKBACK', 'ENTRY_BB_SQUEEZE_RATIO', 'ENTRY_BB_SQUEEZE`</t>
        </is>
      </c>
      <c r="E81" s="56" t="inlineStr">
        <is>
          <t>GLOBAL_CHECK</t>
        </is>
      </c>
      <c r="F81" s="54" t="inlineStr">
        <is>
          <t>GLOBAL_CHECK</t>
        </is>
      </c>
      <c r="G81" s="56" t="inlineStr">
        <is>
          <t>FIRST_OPEN_THROTTLE</t>
        </is>
      </c>
      <c r="H81" s="54" t="inlineStr">
        <is>
          <t>SPECIFIC — only gated switches</t>
        </is>
      </c>
      <c r="I81" s="54" t="inlineStr">
        <is>
          <t>LIVE — wired</t>
        </is>
      </c>
      <c r="J81" s="54" t="n"/>
      <c r="K81" s="51" t="inlineStr">
        <is>
          <t>1/4</t>
        </is>
      </c>
      <c r="L81" s="51" t="inlineStr">
        <is>
          <t>OFF, 15m, 1h, 4h, D (5 options)</t>
        </is>
      </c>
      <c r="M81" s="51" t="inlineStr">
        <is>
          <t>15m</t>
        </is>
      </c>
      <c r="N81" s="51" t="inlineStr">
        <is>
          <t>TF selector</t>
        </is>
      </c>
      <c r="O81" s="51" t="inlineStr">
        <is>
          <t>FIRST_OPEN_THROTTLE_FILTER_TF</t>
        </is>
      </c>
      <c r="P81" s="51" t="inlineStr">
        <is>
          <t>getattr(cfg,"FIRST_OPEN_THROTTLE_FILTER_TF")</t>
        </is>
      </c>
      <c r="Q81" s="35" t="inlineStr">
        <is>
          <t>NO</t>
        </is>
      </c>
    </row>
    <row r="82" ht="15.75" customHeight="1" s="67">
      <c r="A82" s="54" t="n">
        <v>46</v>
      </c>
      <c r="B82" s="55" t="inlineStr">
        <is>
          <t>FIRST_OPEN_THROTTLE_FILTER_TF</t>
        </is>
      </c>
      <c r="C82" s="53" t="inlineStr">
        <is>
          <t>4h</t>
        </is>
      </c>
      <c r="D82" s="56" t="inlineStr">
        <is>
          <t>Throttles first open after cooldown on FILTER_TF. | Live read: `SHOLD', 'ENTRY_BB_SQUEEZE_LOOKBACK', 'ENTRY_BB_SQUEEZE_RATIO', 'ENTRY_BB_SQUEEZE`</t>
        </is>
      </c>
      <c r="E82" s="56" t="inlineStr">
        <is>
          <t>GLOBAL_CHECK</t>
        </is>
      </c>
      <c r="F82" s="54" t="inlineStr">
        <is>
          <t>GLOBAL_CHECK</t>
        </is>
      </c>
      <c r="G82" s="56" t="inlineStr">
        <is>
          <t>FIRST_OPEN_THROTTLE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FIRST_OPEN_THROTTLE_FILTER_TF</t>
        </is>
      </c>
      <c r="P82" s="51" t="inlineStr">
        <is>
          <t>getattr(cfg,"FIRST_OPEN_THROTTLE_FILTER_TF")</t>
        </is>
      </c>
      <c r="Q82" s="35" t="inlineStr">
        <is>
          <t>NO</t>
        </is>
      </c>
    </row>
    <row r="83" ht="15.75" customHeight="1" s="67">
      <c r="A83" s="54" t="n">
        <v>46</v>
      </c>
      <c r="B83" s="55" t="inlineStr">
        <is>
          <t>FIRST_OPEN_THROTTLE_FILTER_TF</t>
        </is>
      </c>
      <c r="C83" s="53" t="inlineStr">
        <is>
          <t>1h</t>
        </is>
      </c>
      <c r="D83" s="56" t="inlineStr">
        <is>
          <t>Throttles first open after cooldown on FILTER_TF. | Live read: `SHOLD', 'ENTRY_BB_SQUEEZE_LOOKBACK', 'ENTRY_BB_SQUEEZE_RATIO', 'ENTRY_BB_SQUEEZE`</t>
        </is>
      </c>
      <c r="E83" s="56" t="inlineStr">
        <is>
          <t>GLOBAL_CHECK</t>
        </is>
      </c>
      <c r="F83" s="54" t="inlineStr">
        <is>
          <t>GLOBAL_CHECK</t>
        </is>
      </c>
      <c r="G83" s="56" t="inlineStr">
        <is>
          <t>FIRST_OPEN_THROTTLE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FIRST_OPEN_THROTTLE_FILTER_TF</t>
        </is>
      </c>
      <c r="P83" s="51" t="inlineStr">
        <is>
          <t>getattr(cfg,"FIRST_OPEN_THROTTLE_FILTER_TF")</t>
        </is>
      </c>
      <c r="Q83" s="35" t="inlineStr">
        <is>
          <t>NO</t>
        </is>
      </c>
    </row>
    <row r="84" ht="15.75" customHeight="1" s="67">
      <c r="A84" s="54" t="n">
        <v>46</v>
      </c>
      <c r="B84" s="57" t="inlineStr">
        <is>
          <t>FIRST_OPEN_THROTTLE_FILTER_TF</t>
        </is>
      </c>
      <c r="C84" s="49" t="inlineStr">
        <is>
          <t>15m</t>
        </is>
      </c>
      <c r="D84" s="56" t="inlineStr">
        <is>
          <t>Throttles first open after cooldown on FILTER_TF. | Live read: `SHOLD', 'ENTRY_BB_SQUEEZE_LOOKBACK', 'ENTRY_BB_SQUEEZE_RATIO', 'ENTRY_BB_SQUEEZE`</t>
        </is>
      </c>
      <c r="E84" s="56" t="inlineStr">
        <is>
          <t>GLOBAL_CHECK</t>
        </is>
      </c>
      <c r="F84" s="54" t="inlineStr">
        <is>
          <t>GLOBAL_CHECK</t>
        </is>
      </c>
      <c r="G84" s="56" t="inlineStr">
        <is>
          <t>FIRST_OPEN_THROTTLE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FIRST_OPEN_THROTTLE_FILTER_TF</t>
        </is>
      </c>
      <c r="P84" s="51" t="inlineStr">
        <is>
          <t>getattr(cfg,"FIRST_OPEN_THROTTLE_FILTER_TF")</t>
        </is>
      </c>
      <c r="Q84" s="35" t="inlineStr">
        <is>
          <t>YES</t>
        </is>
      </c>
    </row>
    <row r="85" ht="15.75" customHeight="1" s="67">
      <c r="A85" s="54" t="n">
        <v>47</v>
      </c>
      <c r="B85" s="55" t="inlineStr">
        <is>
          <t>FROZEN_STOP_FILTER_TF</t>
        </is>
      </c>
      <c r="C85" s="53" t="inlineStr">
        <is>
          <t>OFF</t>
        </is>
      </c>
      <c r="D85" s="56" t="inlineStr">
        <is>
          <t>Frozen (stale) stop — avoids stop triggered on stale DC/BB. | Live read: `TIGHT_BREAKOUT_SCORER_FILTER_TF', 'EXIT_TIGHT_BREAKOUT_SCORER_MIN_TFS', 'EXIT_TO`</t>
        </is>
      </c>
      <c r="E85" s="56" t="inlineStr">
        <is>
          <t>GLOBAL_CHECK</t>
        </is>
      </c>
      <c r="F85" s="54" t="inlineStr">
        <is>
          <t>GLOBAL_CHECK</t>
        </is>
      </c>
      <c r="G85" s="56" t="inlineStr">
        <is>
          <t>FROZEN_STOP</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FROZEN_STOP_FILTER_TF</t>
        </is>
      </c>
      <c r="P85" s="51" t="inlineStr">
        <is>
          <t>getattr(cfg,"FROZEN_STOP_FILTER_TF")</t>
        </is>
      </c>
      <c r="Q85" s="35" t="inlineStr">
        <is>
          <t>NO</t>
        </is>
      </c>
    </row>
    <row r="86" ht="15.75" customHeight="1" s="67">
      <c r="A86" s="54" t="n">
        <v>47</v>
      </c>
      <c r="B86" s="55" t="inlineStr">
        <is>
          <t>FROZEN_STOP_FILTER_TF</t>
        </is>
      </c>
      <c r="C86" s="53" t="inlineStr">
        <is>
          <t>D</t>
        </is>
      </c>
      <c r="D86" s="56" t="inlineStr">
        <is>
          <t>Frozen (stale) stop — avoids stop triggered on stale DC/BB. | Live read: `TIGHT_BREAKOUT_SCORER_FILTER_TF', 'EXIT_TIGHT_BREAKOUT_SCORER_MIN_TFS', 'EXIT_TO`</t>
        </is>
      </c>
      <c r="E86" s="56" t="inlineStr">
        <is>
          <t>GLOBAL_CHECK</t>
        </is>
      </c>
      <c r="F86" s="54" t="inlineStr">
        <is>
          <t>GLOBAL_CHECK</t>
        </is>
      </c>
      <c r="G86" s="56" t="inlineStr">
        <is>
          <t>FROZEN_STOP</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FROZEN_STOP_FILTER_TF</t>
        </is>
      </c>
      <c r="P86" s="51" t="inlineStr">
        <is>
          <t>getattr(cfg,"FROZEN_STOP_FILTER_TF")</t>
        </is>
      </c>
      <c r="Q86" s="35" t="inlineStr">
        <is>
          <t>NO</t>
        </is>
      </c>
    </row>
    <row r="87" ht="15.75" customHeight="1" s="67">
      <c r="A87" s="54" t="n">
        <v>47</v>
      </c>
      <c r="B87" s="55" t="inlineStr">
        <is>
          <t>FROZEN_STOP_FILTER_TF</t>
        </is>
      </c>
      <c r="C87" s="53" t="inlineStr">
        <is>
          <t>4h</t>
        </is>
      </c>
      <c r="D87" s="56" t="inlineStr">
        <is>
          <t>Frozen (stale) stop — avoids stop triggered on stale DC/BB. | Live read: `TIGHT_BREAKOUT_SCORER_FILTER_TF', 'EXIT_TIGHT_BREAKOUT_SCORER_MIN_TFS', 'EXIT_TO`</t>
        </is>
      </c>
      <c r="E87" s="56" t="inlineStr">
        <is>
          <t>GLOBAL_CHECK</t>
        </is>
      </c>
      <c r="F87" s="54" t="inlineStr">
        <is>
          <t>GLOBAL_CHECK</t>
        </is>
      </c>
      <c r="G87" s="56" t="inlineStr">
        <is>
          <t>FROZEN_STOP</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FROZEN_STOP_FILTER_TF</t>
        </is>
      </c>
      <c r="P87" s="51" t="inlineStr">
        <is>
          <t>getattr(cfg,"FROZEN_STOP_FILTER_TF")</t>
        </is>
      </c>
      <c r="Q87" s="35" t="inlineStr">
        <is>
          <t>NO</t>
        </is>
      </c>
    </row>
    <row r="88" ht="15.75" customHeight="1" s="67">
      <c r="A88" s="54" t="n">
        <v>47</v>
      </c>
      <c r="B88" s="55" t="inlineStr">
        <is>
          <t>FROZEN_STOP_FILTER_TF</t>
        </is>
      </c>
      <c r="C88" s="53" t="inlineStr">
        <is>
          <t>1h</t>
        </is>
      </c>
      <c r="D88" s="56" t="inlineStr">
        <is>
          <t>Frozen (stale) stop — avoids stop triggered on stale DC/BB. | Live read: `TIGHT_BREAKOUT_SCORER_FILTER_TF', 'EXIT_TIGHT_BREAKOUT_SCORER_MIN_TFS', 'EXIT_TO`</t>
        </is>
      </c>
      <c r="E88" s="56" t="inlineStr">
        <is>
          <t>GLOBAL_CHECK</t>
        </is>
      </c>
      <c r="F88" s="54" t="inlineStr">
        <is>
          <t>GLOBAL_CHECK</t>
        </is>
      </c>
      <c r="G88" s="56" t="inlineStr">
        <is>
          <t>FROZEN_STOP</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FROZEN_STOP_FILTER_TF</t>
        </is>
      </c>
      <c r="P88" s="51" t="inlineStr">
        <is>
          <t>getattr(cfg,"FROZEN_STOP_FILTER_TF")</t>
        </is>
      </c>
      <c r="Q88" s="35" t="inlineStr">
        <is>
          <t>NO</t>
        </is>
      </c>
    </row>
    <row r="89" ht="15.75" customHeight="1" s="67">
      <c r="A89" s="54" t="n">
        <v>53</v>
      </c>
      <c r="B89" s="55" t="inlineStr">
        <is>
          <t>GOLDEN_RULE_ENFORCE_FILTER_TF</t>
        </is>
      </c>
      <c r="C89" s="53" t="inlineStr">
        <is>
          <t>OFF</t>
        </is>
      </c>
      <c r="D89" s="56" t="inlineStr">
        <is>
          <t>Golden Rule enforcement TF. | Live read: `SHOLD_PCT', 'DC_BREAK_FILTER_TF', 'DC_LOW4_BYPASS_USE_STANDARD', 'DC_MOMENTUM_BO`</t>
        </is>
      </c>
      <c r="E89" s="56" t="inlineStr">
        <is>
          <t>GLOBAL_CHECK</t>
        </is>
      </c>
      <c r="F89" s="54" t="inlineStr">
        <is>
          <t>GLOBAL_CHECK</t>
        </is>
      </c>
      <c r="G89" s="56" t="inlineStr">
        <is>
          <t>GOLDEN_RULE_ENFORCE</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GOLDEN_RULE_ENFORCE_FILTER_TF</t>
        </is>
      </c>
      <c r="P89" s="51" t="inlineStr">
        <is>
          <t>getattr(cfg,"GOLDEN_RULE_ENFORCE_FILTER_TF")</t>
        </is>
      </c>
      <c r="Q89" s="35" t="inlineStr">
        <is>
          <t>NO</t>
        </is>
      </c>
    </row>
    <row r="90" ht="15.75" customHeight="1" s="67">
      <c r="A90" s="54" t="n">
        <v>53</v>
      </c>
      <c r="B90" s="55" t="inlineStr">
        <is>
          <t>GOLDEN_RULE_ENFORCE_FILTER_TF</t>
        </is>
      </c>
      <c r="C90" s="53" t="inlineStr">
        <is>
          <t>D</t>
        </is>
      </c>
      <c r="D90" s="56" t="inlineStr">
        <is>
          <t>Golden Rule enforcement TF. | Live read: `SHOLD_PCT', 'DC_BREAK_FILTER_TF', 'DC_LOW4_BYPASS_USE_STANDARD', 'DC_MOMENTUM_BO`</t>
        </is>
      </c>
      <c r="E90" s="56" t="inlineStr">
        <is>
          <t>GLOBAL_CHECK</t>
        </is>
      </c>
      <c r="F90" s="54" t="inlineStr">
        <is>
          <t>GLOBAL_CHECK</t>
        </is>
      </c>
      <c r="G90" s="56" t="inlineStr">
        <is>
          <t>GOLDEN_RULE_ENFORCE</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GOLDEN_RULE_ENFORCE_FILTER_TF</t>
        </is>
      </c>
      <c r="P90" s="51" t="inlineStr">
        <is>
          <t>getattr(cfg,"GOLDEN_RULE_ENFORCE_FILTER_TF")</t>
        </is>
      </c>
      <c r="Q90" s="35" t="inlineStr">
        <is>
          <t>NO</t>
        </is>
      </c>
    </row>
    <row r="91" ht="15.75" customHeight="1" s="67">
      <c r="A91" s="54" t="n">
        <v>53</v>
      </c>
      <c r="B91" s="55" t="inlineStr">
        <is>
          <t>GOLDEN_RULE_ENFORCE_FILTER_TF</t>
        </is>
      </c>
      <c r="C91" s="53" t="inlineStr">
        <is>
          <t>4h</t>
        </is>
      </c>
      <c r="D91" s="56" t="inlineStr">
        <is>
          <t>Golden Rule enforcement TF. | Live read: `SHOLD_PCT', 'DC_BREAK_FILTER_TF', 'DC_LOW4_BYPASS_USE_STANDARD', 'DC_MOMENTUM_BO`</t>
        </is>
      </c>
      <c r="E91" s="56" t="inlineStr">
        <is>
          <t>GLOBAL_CHECK</t>
        </is>
      </c>
      <c r="F91" s="54" t="inlineStr">
        <is>
          <t>GLOBAL_CHECK</t>
        </is>
      </c>
      <c r="G91" s="56" t="inlineStr">
        <is>
          <t>GOLDEN_RULE_ENFORCE</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GOLDEN_RULE_ENFORCE_FILTER_TF</t>
        </is>
      </c>
      <c r="P91" s="51" t="inlineStr">
        <is>
          <t>getattr(cfg,"GOLDEN_RULE_ENFORCE_FILTER_TF")</t>
        </is>
      </c>
      <c r="Q91" s="35" t="inlineStr">
        <is>
          <t>NO</t>
        </is>
      </c>
    </row>
    <row r="92" ht="15.75" customHeight="1" s="67">
      <c r="A92" s="54" t="n">
        <v>53</v>
      </c>
      <c r="B92" s="55" t="inlineStr">
        <is>
          <t>GOLDEN_RULE_ENFORCE_FILTER_TF</t>
        </is>
      </c>
      <c r="C92" s="53" t="inlineStr">
        <is>
          <t>1h</t>
        </is>
      </c>
      <c r="D92" s="56" t="inlineStr">
        <is>
          <t>Golden Rule enforcement TF. | Live read: `SHOLD_PCT', 'DC_BREAK_FILTER_TF', 'DC_LOW4_BYPASS_USE_STANDARD', 'DC_MOMENTUM_BO`</t>
        </is>
      </c>
      <c r="E92" s="56" t="inlineStr">
        <is>
          <t>GLOBAL_CHECK</t>
        </is>
      </c>
      <c r="F92" s="54" t="inlineStr">
        <is>
          <t>GLOBAL_CHECK</t>
        </is>
      </c>
      <c r="G92" s="56" t="inlineStr">
        <is>
          <t>GOLDEN_RULE_ENFORCE</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GOLDEN_RULE_ENFORCE_FILTER_TF</t>
        </is>
      </c>
      <c r="P92" s="51" t="inlineStr">
        <is>
          <t>getattr(cfg,"GOLDEN_RULE_ENFORCE_FILTER_TF")</t>
        </is>
      </c>
      <c r="Q92" s="35" t="inlineStr">
        <is>
          <t>NO</t>
        </is>
      </c>
    </row>
    <row r="93" ht="15.75" customHeight="1" s="67">
      <c r="A93" s="54" t="n">
        <v>54</v>
      </c>
      <c r="B93" s="55" t="inlineStr">
        <is>
          <t>GOLDEN_RULE_HTF_VOTE_FILTER_TF</t>
        </is>
      </c>
      <c r="C93" s="53" t="inlineStr">
        <is>
          <t>OFF</t>
        </is>
      </c>
      <c r="D93" s="56" t="inlineStr">
        <is>
          <t>Golden Rule HTF vote TF. | Live read: `'DC_LOW4_BYPASS_USE_STANDARD', 'DC_MOMENTUM_BOTA_SCORER_FILTER_TF', 'DC_MOMENT_S`</t>
        </is>
      </c>
      <c r="E93" s="56" t="inlineStr">
        <is>
          <t>GLOBAL_CHECK</t>
        </is>
      </c>
      <c r="F93" s="54" t="inlineStr">
        <is>
          <t>GLOBAL_CHECK</t>
        </is>
      </c>
      <c r="G93" s="56" t="inlineStr">
        <is>
          <t>GOLDEN_RULE_HTF_VOTE</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GOLDEN_RULE_HTF_VOTE_FILTER_TF</t>
        </is>
      </c>
      <c r="P93" s="51" t="inlineStr">
        <is>
          <t>getattr(cfg,"GOLDEN_RULE_HTF_VOTE_FILTER_TF")</t>
        </is>
      </c>
      <c r="Q93" s="35" t="inlineStr">
        <is>
          <t>NO</t>
        </is>
      </c>
    </row>
    <row r="94" ht="15.75" customHeight="1" s="67">
      <c r="A94" s="54" t="n">
        <v>54</v>
      </c>
      <c r="B94" s="55" t="inlineStr">
        <is>
          <t>GOLDEN_RULE_HTF_VOTE_FILTER_TF</t>
        </is>
      </c>
      <c r="C94" s="53" t="inlineStr">
        <is>
          <t>D</t>
        </is>
      </c>
      <c r="D94" s="56" t="inlineStr">
        <is>
          <t>Golden Rule HTF vote TF. | Live read: `'DC_LOW4_BYPASS_USE_STANDARD', 'DC_MOMENTUM_BOTA_SCORER_FILTER_TF', 'DC_MOMENT_S`</t>
        </is>
      </c>
      <c r="E94" s="56" t="inlineStr">
        <is>
          <t>GLOBAL_CHECK</t>
        </is>
      </c>
      <c r="F94" s="54" t="inlineStr">
        <is>
          <t>GLOBAL_CHECK</t>
        </is>
      </c>
      <c r="G94" s="56" t="inlineStr">
        <is>
          <t>GOLDEN_RULE_HTF_VOTE</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GOLDEN_RULE_HTF_VOTE_FILTER_TF</t>
        </is>
      </c>
      <c r="P94" s="51" t="inlineStr">
        <is>
          <t>getattr(cfg,"GOLDEN_RULE_HTF_VOTE_FILTER_TF")</t>
        </is>
      </c>
      <c r="Q94" s="35" t="inlineStr">
        <is>
          <t>NO</t>
        </is>
      </c>
    </row>
    <row r="95" ht="15.75" customHeight="1" s="67">
      <c r="A95" s="54" t="n">
        <v>54</v>
      </c>
      <c r="B95" s="55" t="inlineStr">
        <is>
          <t>GOLDEN_RULE_HTF_VOTE_FILTER_TF</t>
        </is>
      </c>
      <c r="C95" s="53" t="inlineStr">
        <is>
          <t>4h</t>
        </is>
      </c>
      <c r="D95" s="56" t="inlineStr">
        <is>
          <t>Golden Rule HTF vote TF. | Live read: `'DC_LOW4_BYPASS_USE_STANDARD', 'DC_MOMENTUM_BOTA_SCORER_FILTER_TF', 'DC_MOMENT_S`</t>
        </is>
      </c>
      <c r="E95" s="56" t="inlineStr">
        <is>
          <t>GLOBAL_CHECK</t>
        </is>
      </c>
      <c r="F95" s="54" t="inlineStr">
        <is>
          <t>GLOBAL_CHECK</t>
        </is>
      </c>
      <c r="G95" s="56" t="inlineStr">
        <is>
          <t>GOLDEN_RULE_HTF_VOTE</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GOLDEN_RULE_HTF_VOTE_FILTER_TF</t>
        </is>
      </c>
      <c r="P95" s="51" t="inlineStr">
        <is>
          <t>getattr(cfg,"GOLDEN_RULE_HTF_VOTE_FILTER_TF")</t>
        </is>
      </c>
      <c r="Q95" s="35" t="inlineStr">
        <is>
          <t>NO</t>
        </is>
      </c>
    </row>
    <row r="96" ht="15.75" customHeight="1" s="67">
      <c r="A96" s="54" t="n">
        <v>54</v>
      </c>
      <c r="B96" s="55" t="inlineStr">
        <is>
          <t>GOLDEN_RULE_HTF_VOTE_FILTER_TF</t>
        </is>
      </c>
      <c r="C96" s="53" t="inlineStr">
        <is>
          <t>1h</t>
        </is>
      </c>
      <c r="D96" s="56" t="inlineStr">
        <is>
          <t>Golden Rule HTF vote TF. | Live read: `'DC_LOW4_BYPASS_USE_STANDARD', 'DC_MOMENTUM_BOTA_SCORER_FILTER_TF', 'DC_MOMENT_S`</t>
        </is>
      </c>
      <c r="E96" s="56" t="inlineStr">
        <is>
          <t>GLOBAL_CHECK</t>
        </is>
      </c>
      <c r="F96" s="54" t="inlineStr">
        <is>
          <t>GLOBAL_CHECK</t>
        </is>
      </c>
      <c r="G96" s="56" t="inlineStr">
        <is>
          <t>GOLDEN_RULE_HTF_VOTE</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GOLDEN_RULE_HTF_VOTE_FILTER_TF</t>
        </is>
      </c>
      <c r="P96" s="51" t="inlineStr">
        <is>
          <t>getattr(cfg,"GOLDEN_RULE_HTF_VOTE_FILTER_TF")</t>
        </is>
      </c>
      <c r="Q96" s="35" t="inlineStr">
        <is>
          <t>NO</t>
        </is>
      </c>
    </row>
    <row r="97" ht="15.75" customHeight="1" s="67">
      <c r="A97" s="54" t="n">
        <v>57</v>
      </c>
      <c r="B97" s="55" t="inlineStr">
        <is>
          <t>GR_FILTER_VEC_FILTER_TF</t>
        </is>
      </c>
      <c r="C97" s="53" t="inlineStr">
        <is>
          <t>OFF</t>
        </is>
      </c>
      <c r="D9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97" s="56" t="inlineStr">
        <is>
          <t>GLOBAL_CHECK</t>
        </is>
      </c>
      <c r="F97" s="54" t="inlineStr">
        <is>
          <t>GLOBAL_CHECK</t>
        </is>
      </c>
      <c r="G97" s="56" t="inlineStr">
        <is>
          <t>GR_FILTER_VEC</t>
        </is>
      </c>
      <c r="H97" s="54" t="inlineStr">
        <is>
          <t>SPECIFIC — only gated switches</t>
        </is>
      </c>
      <c r="I97" s="54" t="inlineStr">
        <is>
          <t>LIVE — wired</t>
        </is>
      </c>
      <c r="J97" s="54" t="n"/>
      <c r="K97" s="51" t="inlineStr">
        <is>
          <t>1/4</t>
        </is>
      </c>
      <c r="L97" s="51" t="inlineStr">
        <is>
          <t>OFF, 15m, 1h, 4h, D (5 options)</t>
        </is>
      </c>
      <c r="M97" s="51" t="inlineStr">
        <is>
          <t>15m</t>
        </is>
      </c>
      <c r="N97" s="51" t="inlineStr">
        <is>
          <t>TF selector</t>
        </is>
      </c>
      <c r="O97" s="51" t="inlineStr">
        <is>
          <t>GR_FILTER_VEC_FILTER_TF</t>
        </is>
      </c>
      <c r="P97" s="51" t="inlineStr">
        <is>
          <t>getattr(cfg,"GR_FILTER_VEC_FILTER_TF")</t>
        </is>
      </c>
      <c r="Q97" s="35" t="inlineStr">
        <is>
          <t>NO</t>
        </is>
      </c>
    </row>
    <row r="98" ht="15.75" customHeight="1" s="67">
      <c r="A98" s="54" t="n">
        <v>57</v>
      </c>
      <c r="B98" s="55" t="inlineStr">
        <is>
          <t>GR_FILTER_VEC_FILTER_TF</t>
        </is>
      </c>
      <c r="C98" s="53" t="inlineStr">
        <is>
          <t>D</t>
        </is>
      </c>
      <c r="D9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98" s="56" t="inlineStr">
        <is>
          <t>GLOBAL_CHECK</t>
        </is>
      </c>
      <c r="F98" s="54" t="inlineStr">
        <is>
          <t>GLOBAL_CHECK</t>
        </is>
      </c>
      <c r="G98" s="56" t="inlineStr">
        <is>
          <t>GR_FILTER_VEC</t>
        </is>
      </c>
      <c r="H98" s="54" t="inlineStr">
        <is>
          <t>SPECIFIC — only gated switches</t>
        </is>
      </c>
      <c r="I98" s="54" t="inlineStr">
        <is>
          <t>LIVE — wired</t>
        </is>
      </c>
      <c r="J98" s="54" t="n"/>
      <c r="K98" s="51" t="inlineStr">
        <is>
          <t>1/4</t>
        </is>
      </c>
      <c r="L98" s="51" t="inlineStr">
        <is>
          <t>OFF, 15m, 1h, 4h, D (5 options)</t>
        </is>
      </c>
      <c r="M98" s="51" t="inlineStr">
        <is>
          <t>15m</t>
        </is>
      </c>
      <c r="N98" s="51" t="inlineStr">
        <is>
          <t>TF selector</t>
        </is>
      </c>
      <c r="O98" s="51" t="inlineStr">
        <is>
          <t>GR_FILTER_VEC_FILTER_TF</t>
        </is>
      </c>
      <c r="P98" s="51" t="inlineStr">
        <is>
          <t>getattr(cfg,"GR_FILTER_VEC_FILTER_TF")</t>
        </is>
      </c>
      <c r="Q98" s="35" t="inlineStr">
        <is>
          <t>NO</t>
        </is>
      </c>
    </row>
    <row r="99" ht="15.75" customHeight="1" s="67">
      <c r="A99" s="54" t="n">
        <v>57</v>
      </c>
      <c r="B99" s="55" t="inlineStr">
        <is>
          <t>GR_FILTER_VEC_FILTER_TF</t>
        </is>
      </c>
      <c r="C99" s="53" t="inlineStr">
        <is>
          <t>4h</t>
        </is>
      </c>
      <c r="D9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99" s="56" t="inlineStr">
        <is>
          <t>GLOBAL_CHECK</t>
        </is>
      </c>
      <c r="F99" s="54" t="inlineStr">
        <is>
          <t>GLOBAL_CHECK</t>
        </is>
      </c>
      <c r="G99" s="56" t="inlineStr">
        <is>
          <t>GR_FILTER_VEC</t>
        </is>
      </c>
      <c r="H99" s="54" t="inlineStr">
        <is>
          <t>SPECIFIC — only gated switches</t>
        </is>
      </c>
      <c r="I99" s="54" t="inlineStr">
        <is>
          <t>LIVE — wired</t>
        </is>
      </c>
      <c r="J99" s="54" t="n"/>
      <c r="K99" s="51" t="inlineStr">
        <is>
          <t>1/4</t>
        </is>
      </c>
      <c r="L99" s="51" t="inlineStr">
        <is>
          <t>OFF, 15m, 1h, 4h, D (5 options)</t>
        </is>
      </c>
      <c r="M99" s="51" t="inlineStr">
        <is>
          <t>15m</t>
        </is>
      </c>
      <c r="N99" s="51" t="inlineStr">
        <is>
          <t>TF selector</t>
        </is>
      </c>
      <c r="O99" s="51" t="inlineStr">
        <is>
          <t>GR_FILTER_VEC_FILTER_TF</t>
        </is>
      </c>
      <c r="P99" s="51" t="inlineStr">
        <is>
          <t>getattr(cfg,"GR_FILTER_VEC_FILTER_TF")</t>
        </is>
      </c>
      <c r="Q99" s="35" t="inlineStr">
        <is>
          <t>NO</t>
        </is>
      </c>
    </row>
    <row r="100" ht="15.75" customHeight="1" s="67">
      <c r="A100" s="54" t="n">
        <v>57</v>
      </c>
      <c r="B100" s="55" t="inlineStr">
        <is>
          <t>GR_FILTER_VEC_FILTER_TF</t>
        </is>
      </c>
      <c r="C100" s="53" t="inlineStr">
        <is>
          <t>1h</t>
        </is>
      </c>
      <c r="D10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100" s="56" t="inlineStr">
        <is>
          <t>GLOBAL_CHECK</t>
        </is>
      </c>
      <c r="F100" s="54" t="inlineStr">
        <is>
          <t>GLOBAL_CHECK</t>
        </is>
      </c>
      <c r="G100" s="56" t="inlineStr">
        <is>
          <t>GR_FILTER_VEC</t>
        </is>
      </c>
      <c r="H100" s="54" t="inlineStr">
        <is>
          <t>SPECIFIC — only gated switches</t>
        </is>
      </c>
      <c r="I100" s="54" t="inlineStr">
        <is>
          <t>LIVE — wired</t>
        </is>
      </c>
      <c r="J100" s="54" t="n"/>
      <c r="K100" s="51" t="inlineStr">
        <is>
          <t>1/4</t>
        </is>
      </c>
      <c r="L100" s="51" t="inlineStr">
        <is>
          <t>OFF, 15m, 1h, 4h, D (5 options)</t>
        </is>
      </c>
      <c r="M100" s="51" t="inlineStr">
        <is>
          <t>15m</t>
        </is>
      </c>
      <c r="N100" s="51" t="inlineStr">
        <is>
          <t>TF selector</t>
        </is>
      </c>
      <c r="O100" s="51" t="inlineStr">
        <is>
          <t>GR_FILTER_VEC_FILTER_TF</t>
        </is>
      </c>
      <c r="P100" s="51" t="inlineStr">
        <is>
          <t>getattr(cfg,"GR_FILTER_VEC_FILTER_TF")</t>
        </is>
      </c>
      <c r="Q100" s="35" t="inlineStr">
        <is>
          <t>NO</t>
        </is>
      </c>
    </row>
    <row r="101" ht="15.75" customHeight="1" s="67">
      <c r="A101" s="54" t="n">
        <v>57</v>
      </c>
      <c r="B101" s="57" t="inlineStr">
        <is>
          <t>GR_FILTER_VEC_FILTER_TF</t>
        </is>
      </c>
      <c r="C101" s="49" t="inlineStr">
        <is>
          <t>15m</t>
        </is>
      </c>
      <c r="D10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101" s="56" t="inlineStr">
        <is>
          <t>GLOBAL_CHECK</t>
        </is>
      </c>
      <c r="F101" s="54" t="inlineStr">
        <is>
          <t>GLOBAL_CHECK</t>
        </is>
      </c>
      <c r="G101" s="56" t="inlineStr">
        <is>
          <t>GR_FILTER_VEC</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GR_FILTER_VEC_FILTER_TF</t>
        </is>
      </c>
      <c r="P101" s="51" t="inlineStr">
        <is>
          <t>getattr(cfg,"GR_FILTER_VEC_FILTER_TF")</t>
        </is>
      </c>
      <c r="Q101" s="35" t="inlineStr">
        <is>
          <t>YES</t>
        </is>
      </c>
    </row>
    <row r="102" ht="15.75" customHeight="1" s="67">
      <c r="A102" s="54" t="n">
        <v>79</v>
      </c>
      <c r="B102" s="55" t="inlineStr">
        <is>
          <t>LIVE_ENTRY_ENGINE_FILTER_TF</t>
        </is>
      </c>
      <c r="C102" s="53" t="inlineStr">
        <is>
          <t>OFF</t>
        </is>
      </c>
      <c r="D102" s="56" t="inlineStr">
        <is>
          <t>Live entry engine confirmation TF. | Live read: `_W', 'GR_FILTER_ALL_ENTRIES', 'GR_OPEN_COOLDOWN_S', 'GR_TOTAL_VOTE_SCORE_MIN', '`</t>
        </is>
      </c>
      <c r="E102" s="56" t="inlineStr">
        <is>
          <t>GLOBAL_CHECK</t>
        </is>
      </c>
      <c r="F102" s="54" t="inlineStr">
        <is>
          <t>GLOBAL_CHECK</t>
        </is>
      </c>
      <c r="G102" s="56" t="inlineStr">
        <is>
          <t>LIVE_ENTRY_ENGINE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LIVE_ENTRY_ENGINE_FILTER_TF</t>
        </is>
      </c>
      <c r="P102" s="51" t="inlineStr">
        <is>
          <t>getattr(cfg,"LIVE_ENTRY_ENGINE_FILTER_TF")</t>
        </is>
      </c>
      <c r="Q102" s="35" t="inlineStr">
        <is>
          <t>NO</t>
        </is>
      </c>
    </row>
    <row r="103" ht="15.75" customHeight="1" s="67">
      <c r="A103" s="54" t="n">
        <v>79</v>
      </c>
      <c r="B103" s="55" t="inlineStr">
        <is>
          <t>LIVE_ENTRY_ENGINE_FILTER_TF</t>
        </is>
      </c>
      <c r="C103" s="53" t="inlineStr">
        <is>
          <t>D</t>
        </is>
      </c>
      <c r="D103" s="56" t="inlineStr">
        <is>
          <t>Live entry engine confirmation TF. | Live read: `_W', 'GR_FILTER_ALL_ENTRIES', 'GR_OPEN_COOLDOWN_S', 'GR_TOTAL_VOTE_SCORE_MIN', '`</t>
        </is>
      </c>
      <c r="E103" s="56" t="inlineStr">
        <is>
          <t>GLOBAL_CHECK</t>
        </is>
      </c>
      <c r="F103" s="54" t="inlineStr">
        <is>
          <t>GLOBAL_CHECK</t>
        </is>
      </c>
      <c r="G103" s="56" t="inlineStr">
        <is>
          <t>LIVE_ENTRY_ENGINE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LIVE_ENTRY_ENGINE_FILTER_TF</t>
        </is>
      </c>
      <c r="P103" s="51" t="inlineStr">
        <is>
          <t>getattr(cfg,"LIVE_ENTRY_ENGINE_FILTER_TF")</t>
        </is>
      </c>
      <c r="Q103" s="35" t="inlineStr">
        <is>
          <t>NO</t>
        </is>
      </c>
    </row>
    <row r="104" ht="15.75" customHeight="1" s="67">
      <c r="A104" s="54" t="n">
        <v>79</v>
      </c>
      <c r="B104" s="55" t="inlineStr">
        <is>
          <t>LIVE_ENTRY_ENGINE_FILTER_TF</t>
        </is>
      </c>
      <c r="C104" s="53" t="inlineStr">
        <is>
          <t>4h</t>
        </is>
      </c>
      <c r="D104" s="56" t="inlineStr">
        <is>
          <t>Live entry engine confirmation TF. | Live read: `_W', 'GR_FILTER_ALL_ENTRIES', 'GR_OPEN_COOLDOWN_S', 'GR_TOTAL_VOTE_SCORE_MIN', '`</t>
        </is>
      </c>
      <c r="E104" s="56" t="inlineStr">
        <is>
          <t>GLOBAL_CHECK</t>
        </is>
      </c>
      <c r="F104" s="54" t="inlineStr">
        <is>
          <t>GLOBAL_CHECK</t>
        </is>
      </c>
      <c r="G104" s="56" t="inlineStr">
        <is>
          <t>LIVE_ENTRY_ENGINE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LIVE_ENTRY_ENGINE_FILTER_TF</t>
        </is>
      </c>
      <c r="P104" s="51" t="inlineStr">
        <is>
          <t>getattr(cfg,"LIVE_ENTRY_ENGINE_FILTER_TF")</t>
        </is>
      </c>
      <c r="Q104" s="35" t="inlineStr">
        <is>
          <t>NO</t>
        </is>
      </c>
    </row>
    <row r="105" ht="15.75" customHeight="1" s="67">
      <c r="A105" s="54" t="n">
        <v>79</v>
      </c>
      <c r="B105" s="55" t="inlineStr">
        <is>
          <t>LIVE_ENTRY_ENGINE_FILTER_TF</t>
        </is>
      </c>
      <c r="C105" s="53" t="inlineStr">
        <is>
          <t>1h</t>
        </is>
      </c>
      <c r="D105" s="56" t="inlineStr">
        <is>
          <t>Live entry engine confirmation TF. | Live read: `_W', 'GR_FILTER_ALL_ENTRIES', 'GR_OPEN_COOLDOWN_S', 'GR_TOTAL_VOTE_SCORE_MIN', '`</t>
        </is>
      </c>
      <c r="E105" s="56" t="inlineStr">
        <is>
          <t>GLOBAL_CHECK</t>
        </is>
      </c>
      <c r="F105" s="54" t="inlineStr">
        <is>
          <t>GLOBAL_CHECK</t>
        </is>
      </c>
      <c r="G105" s="56" t="inlineStr">
        <is>
          <t>LIVE_ENTRY_ENGINE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LIVE_ENTRY_ENGINE_FILTER_TF</t>
        </is>
      </c>
      <c r="P105" s="51" t="inlineStr">
        <is>
          <t>getattr(cfg,"LIVE_ENTRY_ENGINE_FILTER_TF")</t>
        </is>
      </c>
      <c r="Q105" s="35" t="inlineStr">
        <is>
          <t>NO</t>
        </is>
      </c>
    </row>
    <row r="106" ht="15.75" customHeight="1" s="67">
      <c r="A106" s="54" t="n">
        <v>79</v>
      </c>
      <c r="B106" s="57" t="inlineStr">
        <is>
          <t>LIVE_ENTRY_ENGINE_FILTER_TF</t>
        </is>
      </c>
      <c r="C106" s="49" t="inlineStr">
        <is>
          <t>15m</t>
        </is>
      </c>
      <c r="D106" s="56" t="inlineStr">
        <is>
          <t>Live entry engine confirmation TF. | Live read: `_W', 'GR_FILTER_ALL_ENTRIES', 'GR_OPEN_COOLDOWN_S', 'GR_TOTAL_VOTE_SCORE_MIN', '`</t>
        </is>
      </c>
      <c r="E106" s="56" t="inlineStr">
        <is>
          <t>GLOBAL_CHECK</t>
        </is>
      </c>
      <c r="F106" s="54" t="inlineStr">
        <is>
          <t>GLOBAL_CHECK</t>
        </is>
      </c>
      <c r="G106" s="56" t="inlineStr">
        <is>
          <t>LIVE_ENTRY_ENGINE</t>
        </is>
      </c>
      <c r="H106" s="54" t="inlineStr">
        <is>
          <t>SPECIFIC — only gated switches</t>
        </is>
      </c>
      <c r="I106" s="54" t="inlineStr">
        <is>
          <t>LIVE — wired</t>
        </is>
      </c>
      <c r="J106" s="54" t="n"/>
      <c r="K106" s="51" t="inlineStr">
        <is>
          <t>1/4</t>
        </is>
      </c>
      <c r="L106" s="51" t="inlineStr">
        <is>
          <t>OFF, 15m, 1h, 4h, D (5 options)</t>
        </is>
      </c>
      <c r="M106" s="51" t="inlineStr">
        <is>
          <t>15m</t>
        </is>
      </c>
      <c r="N106" s="51" t="inlineStr">
        <is>
          <t>TF selector</t>
        </is>
      </c>
      <c r="O106" s="51" t="inlineStr">
        <is>
          <t>LIVE_ENTRY_ENGINE_FILTER_TF</t>
        </is>
      </c>
      <c r="P106" s="51" t="inlineStr">
        <is>
          <t>getattr(cfg,"LIVE_ENTRY_ENGINE_FILTER_TF")</t>
        </is>
      </c>
      <c r="Q106" s="35" t="inlineStr">
        <is>
          <t>YES</t>
        </is>
      </c>
    </row>
    <row r="107" ht="15.75" customHeight="1" s="67">
      <c r="A107" s="54" t="n">
        <v>80</v>
      </c>
      <c r="B107" s="55" t="inlineStr">
        <is>
          <t>LIVE_ONLY_SIGNALS_BATCH5_FILTER_TF</t>
        </is>
      </c>
      <c r="C107" s="53" t="inlineStr">
        <is>
          <t>OFF</t>
        </is>
      </c>
      <c r="D107" s="56" t="inlineStr">
        <is>
          <t>Batch-5 live-only signals filter TF. | Live read: `TE_MIN_TFS', 'GOLDEN_RULE_ENFORCE_FILTER_TF', 'GOLDEN_RULE_HTF_VOTE_FILTER_TF', `</t>
        </is>
      </c>
      <c r="E107" s="56" t="inlineStr">
        <is>
          <t>GLOBAL_CHECK</t>
        </is>
      </c>
      <c r="F107" s="54" t="inlineStr">
        <is>
          <t>GLOBAL_CHECK</t>
        </is>
      </c>
      <c r="G107" s="56" t="inlineStr">
        <is>
          <t>LIVE_ONLY_SIGNALS_BATCH5</t>
        </is>
      </c>
      <c r="H107" s="54" t="inlineStr">
        <is>
          <t>SPECIFIC — only gated switches</t>
        </is>
      </c>
      <c r="I107" s="54" t="inlineStr">
        <is>
          <t>LIVE — wired</t>
        </is>
      </c>
      <c r="J107" s="54" t="n"/>
      <c r="K107" s="51" t="inlineStr">
        <is>
          <t>1/4</t>
        </is>
      </c>
      <c r="L107" s="51" t="inlineStr">
        <is>
          <t>OFF, 15m, 1h, 4h, D (5 options)</t>
        </is>
      </c>
      <c r="M107" s="51" t="inlineStr">
        <is>
          <t>15m</t>
        </is>
      </c>
      <c r="N107" s="51" t="inlineStr">
        <is>
          <t>TF selector</t>
        </is>
      </c>
      <c r="O107" s="51" t="inlineStr">
        <is>
          <t>LIVE_ONLY_SIGNALS_BATCH5_FILTER_TF</t>
        </is>
      </c>
      <c r="P107" s="51" t="inlineStr">
        <is>
          <t>getattr(cfg,"LIVE_ONLY_SIGNALS_BATCH5_FILTER_TF")</t>
        </is>
      </c>
      <c r="Q107" s="35" t="inlineStr">
        <is>
          <t>NO</t>
        </is>
      </c>
    </row>
    <row r="108" ht="15.75" customHeight="1" s="67">
      <c r="A108" s="54" t="n">
        <v>80</v>
      </c>
      <c r="B108" s="55" t="inlineStr">
        <is>
          <t>LIVE_ONLY_SIGNALS_BATCH5_FILTER_TF</t>
        </is>
      </c>
      <c r="C108" s="53" t="inlineStr">
        <is>
          <t>D</t>
        </is>
      </c>
      <c r="D108" s="56" t="inlineStr">
        <is>
          <t>Batch-5 live-only signals filter TF. | Live read: `TE_MIN_TFS', 'GOLDEN_RULE_ENFORCE_FILTER_TF', 'GOLDEN_RULE_HTF_VOTE_FILTER_TF', `</t>
        </is>
      </c>
      <c r="E108" s="56" t="inlineStr">
        <is>
          <t>GLOBAL_CHECK</t>
        </is>
      </c>
      <c r="F108" s="54" t="inlineStr">
        <is>
          <t>GLOBAL_CHECK</t>
        </is>
      </c>
      <c r="G108" s="56" t="inlineStr">
        <is>
          <t>LIVE_ONLY_SIGNALS_BATCH5</t>
        </is>
      </c>
      <c r="H108" s="54" t="inlineStr">
        <is>
          <t>SPECIFIC — only gated switches</t>
        </is>
      </c>
      <c r="I108" s="54" t="inlineStr">
        <is>
          <t>LIVE — wired</t>
        </is>
      </c>
      <c r="J108" s="54" t="n"/>
      <c r="K108" s="51" t="inlineStr">
        <is>
          <t>1/4</t>
        </is>
      </c>
      <c r="L108" s="51" t="inlineStr">
        <is>
          <t>OFF, 15m, 1h, 4h, D (5 options)</t>
        </is>
      </c>
      <c r="M108" s="51" t="inlineStr">
        <is>
          <t>15m</t>
        </is>
      </c>
      <c r="N108" s="51" t="inlineStr">
        <is>
          <t>TF selector</t>
        </is>
      </c>
      <c r="O108" s="51" t="inlineStr">
        <is>
          <t>LIVE_ONLY_SIGNALS_BATCH5_FILTER_TF</t>
        </is>
      </c>
      <c r="P108" s="51" t="inlineStr">
        <is>
          <t>getattr(cfg,"LIVE_ONLY_SIGNALS_BATCH5_FILTER_TF")</t>
        </is>
      </c>
      <c r="Q108" s="35" t="inlineStr">
        <is>
          <t>NO</t>
        </is>
      </c>
    </row>
    <row r="109" ht="15.75" customHeight="1" s="67">
      <c r="A109" s="54" t="n">
        <v>80</v>
      </c>
      <c r="B109" s="55" t="inlineStr">
        <is>
          <t>LIVE_ONLY_SIGNALS_BATCH5_FILTER_TF</t>
        </is>
      </c>
      <c r="C109" s="53" t="inlineStr">
        <is>
          <t>1h</t>
        </is>
      </c>
      <c r="D109" s="56" t="inlineStr">
        <is>
          <t>Batch-5 live-only signals filter TF. | Live read: `TE_MIN_TFS', 'GOLDEN_RULE_ENFORCE_FILTER_TF', 'GOLDEN_RULE_HTF_VOTE_FILTER_TF', `</t>
        </is>
      </c>
      <c r="E109" s="56" t="inlineStr">
        <is>
          <t>GLOBAL_CHECK</t>
        </is>
      </c>
      <c r="F109" s="54" t="inlineStr">
        <is>
          <t>GLOBAL_CHECK</t>
        </is>
      </c>
      <c r="G109" s="56" t="inlineStr">
        <is>
          <t>LIVE_ONLY_SIGNALS_BATCH5</t>
        </is>
      </c>
      <c r="H109" s="54" t="inlineStr">
        <is>
          <t>SPECIFIC — only gated switches</t>
        </is>
      </c>
      <c r="I109" s="54" t="inlineStr">
        <is>
          <t>LIVE — wired</t>
        </is>
      </c>
      <c r="J109" s="54" t="n"/>
      <c r="K109" s="51" t="inlineStr">
        <is>
          <t>1/4</t>
        </is>
      </c>
      <c r="L109" s="51" t="inlineStr">
        <is>
          <t>OFF, 15m, 1h, 4h, D (5 options)</t>
        </is>
      </c>
      <c r="M109" s="51" t="inlineStr">
        <is>
          <t>15m</t>
        </is>
      </c>
      <c r="N109" s="51" t="inlineStr">
        <is>
          <t>TF selector</t>
        </is>
      </c>
      <c r="O109" s="51" t="inlineStr">
        <is>
          <t>LIVE_ONLY_SIGNALS_BATCH5_FILTER_TF</t>
        </is>
      </c>
      <c r="P109" s="51" t="inlineStr">
        <is>
          <t>getattr(cfg,"LIVE_ONLY_SIGNALS_BATCH5_FILTER_TF")</t>
        </is>
      </c>
      <c r="Q109" s="35" t="inlineStr">
        <is>
          <t>NO</t>
        </is>
      </c>
    </row>
    <row r="110" ht="15.75" customHeight="1" s="67">
      <c r="A110" s="54" t="n">
        <v>80</v>
      </c>
      <c r="B110" s="57" t="inlineStr">
        <is>
          <t>LIVE_ONLY_SIGNALS_BATCH5_FILTER_TF</t>
        </is>
      </c>
      <c r="C110" s="49" t="inlineStr">
        <is>
          <t>15m</t>
        </is>
      </c>
      <c r="D110" s="56" t="inlineStr">
        <is>
          <t>Batch-5 live-only signals filter TF. | Live read: `TE_MIN_TFS', 'GOLDEN_RULE_ENFORCE_FILTER_TF', 'GOLDEN_RULE_HTF_VOTE_FILTER_TF', `</t>
        </is>
      </c>
      <c r="E110" s="56" t="inlineStr">
        <is>
          <t>GLOBAL_CHECK</t>
        </is>
      </c>
      <c r="F110" s="54" t="inlineStr">
        <is>
          <t>GLOBAL_CHECK</t>
        </is>
      </c>
      <c r="G110" s="56" t="inlineStr">
        <is>
          <t>LIVE_ONLY_SIGNALS_BATCH5</t>
        </is>
      </c>
      <c r="H110" s="54" t="inlineStr">
        <is>
          <t>SPECIFIC — only gated switches</t>
        </is>
      </c>
      <c r="I110" s="54" t="inlineStr">
        <is>
          <t>LIVE — wired</t>
        </is>
      </c>
      <c r="J110" s="54" t="n"/>
      <c r="K110" s="51" t="inlineStr">
        <is>
          <t>1/4</t>
        </is>
      </c>
      <c r="L110" s="51" t="inlineStr">
        <is>
          <t>OFF, 15m, 1h, 4h, D (5 options)</t>
        </is>
      </c>
      <c r="M110" s="51" t="inlineStr">
        <is>
          <t>15m</t>
        </is>
      </c>
      <c r="N110" s="51" t="inlineStr">
        <is>
          <t>TF selector</t>
        </is>
      </c>
      <c r="O110" s="51" t="inlineStr">
        <is>
          <t>LIVE_ONLY_SIGNALS_BATCH5_FILTER_TF</t>
        </is>
      </c>
      <c r="P110" s="51" t="inlineStr">
        <is>
          <t>getattr(cfg,"LIVE_ONLY_SIGNALS_BATCH5_FILTER_TF")</t>
        </is>
      </c>
      <c r="Q110" s="35" t="inlineStr">
        <is>
          <t>YES</t>
        </is>
      </c>
    </row>
    <row r="111" ht="15.75" customHeight="1" s="67">
      <c r="A111" s="54" t="n">
        <v>88</v>
      </c>
      <c r="B111" s="57" t="inlineStr">
        <is>
          <t>MANDATORY_REENTRY_WT_FILTER_TF_MODE</t>
        </is>
      </c>
      <c r="C111" s="49" t="inlineStr">
        <is>
          <t>15m_only</t>
        </is>
      </c>
      <c r="D111" s="56" t="inlineStr">
        <is>
          <t>WT filter mode for mandatory reentry (e.g. 5m_or_15m). | Live read: `RANTEED_REENTRY_K_FAVORABLE_LOW', 'GUARANTEED_REENTRY_K_HIGH_BLOCK', 'GUARANTEED`</t>
        </is>
      </c>
      <c r="E111" s="56" t="inlineStr">
        <is>
          <t>GLOBAL_CHECK, STOCKS_EXIT</t>
        </is>
      </c>
      <c r="F111" s="54" t="inlineStr">
        <is>
          <t>GLOBAL_CHECK, STOCKS_EXIT</t>
        </is>
      </c>
      <c r="G111" s="56" t="inlineStr">
        <is>
          <t>MANDATORY_REENTRY_WT_MODE</t>
        </is>
      </c>
      <c r="H111" s="54" t="inlineStr">
        <is>
          <t>SPECIFIC — only gated switches</t>
        </is>
      </c>
      <c r="I111" s="54" t="inlineStr">
        <is>
          <t>LIVE — wired</t>
        </is>
      </c>
      <c r="J111" s="54" t="n"/>
      <c r="K111" s="51" t="inlineStr">
        <is>
          <t>—</t>
        </is>
      </c>
      <c r="L111" s="51" t="inlineStr">
        <is>
          <t>15m_only, alt</t>
        </is>
      </c>
      <c r="M111" s="51" t="inlineStr">
        <is>
          <t>15m_only</t>
        </is>
      </c>
      <c r="N111" s="51" t="inlineStr">
        <is>
          <t>param</t>
        </is>
      </c>
      <c r="O111" s="51" t="inlineStr">
        <is>
          <t>MANDATORY_REENTRY_WT_FILTER_TF_MODE</t>
        </is>
      </c>
      <c r="P111" s="51" t="inlineStr">
        <is>
          <t>getattr(cfg,"MANDATORY_REENTRY_WT_FILTER_TF_MODE")</t>
        </is>
      </c>
      <c r="Q111" s="35" t="inlineStr">
        <is>
          <t>YES</t>
        </is>
      </c>
    </row>
    <row r="112" ht="15.75" customHeight="1" s="67">
      <c r="A112" s="54" t="n">
        <v>88</v>
      </c>
      <c r="B112" s="55" t="inlineStr">
        <is>
          <t>MANDATORY_REENTRY_WT_FILTER_TF_MODE</t>
        </is>
      </c>
      <c r="C112" s="53" t="inlineStr">
        <is>
          <t>15m_only_ALT</t>
        </is>
      </c>
      <c r="D112" s="56" t="inlineStr">
        <is>
          <t>WT filter mode for mandatory reentry (e.g. 5m_or_15m). | Live read: `RANTEED_REENTRY_K_FAVORABLE_LOW', 'GUARANTEED_REENTRY_K_HIGH_BLOCK', 'GUARANTEED`</t>
        </is>
      </c>
      <c r="E112" s="56" t="inlineStr">
        <is>
          <t>GLOBAL_CHECK, STOCKS_EXIT</t>
        </is>
      </c>
      <c r="F112" s="54" t="inlineStr">
        <is>
          <t>GLOBAL_CHECK, STOCKS_EXIT</t>
        </is>
      </c>
      <c r="G112" s="56" t="inlineStr">
        <is>
          <t>MANDATORY_REENTRY_WT_MODE</t>
        </is>
      </c>
      <c r="H112" s="54" t="inlineStr">
        <is>
          <t>SPECIFIC — only gated switches</t>
        </is>
      </c>
      <c r="I112" s="54" t="inlineStr">
        <is>
          <t>LIVE — wired</t>
        </is>
      </c>
      <c r="J112" s="54" t="n"/>
      <c r="K112" s="51" t="inlineStr">
        <is>
          <t>—</t>
        </is>
      </c>
      <c r="L112" s="51" t="inlineStr">
        <is>
          <t>15m_only, alt</t>
        </is>
      </c>
      <c r="M112" s="51" t="inlineStr">
        <is>
          <t>15m_only</t>
        </is>
      </c>
      <c r="N112" s="51" t="inlineStr">
        <is>
          <t>param</t>
        </is>
      </c>
      <c r="O112" s="51" t="inlineStr">
        <is>
          <t>MANDATORY_REENTRY_WT_FILTER_TF_MODE</t>
        </is>
      </c>
      <c r="P112" s="51" t="inlineStr">
        <is>
          <t>getattr(cfg,"MANDATORY_REENTRY_WT_FILTER_TF_MODE")</t>
        </is>
      </c>
      <c r="Q112" s="35" t="inlineStr">
        <is>
          <t>NO</t>
        </is>
      </c>
    </row>
    <row r="113" ht="15.75" customHeight="1" s="67">
      <c r="A113" s="54" t="n">
        <v>93</v>
      </c>
      <c r="B113" s="55" t="inlineStr">
        <is>
          <t>MOMENTUM_BREAKOUT_FILTER_TF</t>
        </is>
      </c>
      <c r="C113" s="53" t="inlineStr">
        <is>
          <t>OFF</t>
        </is>
      </c>
      <c r="D113" s="56" t="inlineStr">
        <is>
          <t>Momentum breakout confirmation TF. | Live read: `PLY_TO_OPEN', 'HTF_GATE_BYPASS_RZ', 'HTF_GATE_D_MANDATORY', 'HTF_GATE_MIN_CONFIR`</t>
        </is>
      </c>
      <c r="E113" s="56" t="inlineStr">
        <is>
          <t>GLOBAL_CHECK</t>
        </is>
      </c>
      <c r="F113" s="54" t="inlineStr">
        <is>
          <t>GLOBAL_CHECK</t>
        </is>
      </c>
      <c r="G113" s="56" t="inlineStr">
        <is>
          <t>MOMENTUM_BREAKOUT</t>
        </is>
      </c>
      <c r="H113" s="54" t="inlineStr">
        <is>
          <t>SPECIFIC — only gated switches</t>
        </is>
      </c>
      <c r="I113" s="54" t="inlineStr">
        <is>
          <t>LIVE — wired</t>
        </is>
      </c>
      <c r="J113" s="54" t="n"/>
      <c r="K113" s="51" t="inlineStr">
        <is>
          <t>1/4</t>
        </is>
      </c>
      <c r="L113" s="51" t="inlineStr">
        <is>
          <t>OFF, 15m, 1h, 4h, D (5 options)</t>
        </is>
      </c>
      <c r="M113" s="51" t="inlineStr">
        <is>
          <t>15m</t>
        </is>
      </c>
      <c r="N113" s="51" t="inlineStr">
        <is>
          <t>TF selector</t>
        </is>
      </c>
      <c r="O113" s="51" t="inlineStr">
        <is>
          <t>MOMENTUM_BREAKOUT_FILTER_TF</t>
        </is>
      </c>
      <c r="P113" s="51" t="inlineStr">
        <is>
          <t>getattr(cfg,"MOMENTUM_BREAKOUT_FILTER_TF")</t>
        </is>
      </c>
      <c r="Q113" s="35" t="inlineStr">
        <is>
          <t>NO</t>
        </is>
      </c>
    </row>
    <row r="114" ht="15.75" customHeight="1" s="67">
      <c r="A114" s="54" t="n">
        <v>93</v>
      </c>
      <c r="B114" s="55" t="inlineStr">
        <is>
          <t>MOMENTUM_BREAKOUT_FILTER_TF</t>
        </is>
      </c>
      <c r="C114" s="53" t="inlineStr">
        <is>
          <t>D</t>
        </is>
      </c>
      <c r="D114" s="56" t="inlineStr">
        <is>
          <t>Momentum breakout confirmation TF. | Live read: `PLY_TO_OPEN', 'HTF_GATE_BYPASS_RZ', 'HTF_GATE_D_MANDATORY', 'HTF_GATE_MIN_CONFIR`</t>
        </is>
      </c>
      <c r="E114" s="56" t="inlineStr">
        <is>
          <t>GLOBAL_CHECK</t>
        </is>
      </c>
      <c r="F114" s="54" t="inlineStr">
        <is>
          <t>GLOBAL_CHECK</t>
        </is>
      </c>
      <c r="G114" s="56" t="inlineStr">
        <is>
          <t>MOMENTUM_BREAKOUT</t>
        </is>
      </c>
      <c r="H114" s="54" t="inlineStr">
        <is>
          <t>SPECIFIC — only gated switches</t>
        </is>
      </c>
      <c r="I114" s="54" t="inlineStr">
        <is>
          <t>LIVE — wired</t>
        </is>
      </c>
      <c r="J114" s="54" t="n"/>
      <c r="K114" s="51" t="inlineStr">
        <is>
          <t>1/4</t>
        </is>
      </c>
      <c r="L114" s="51" t="inlineStr">
        <is>
          <t>OFF, 15m, 1h, 4h, D (5 options)</t>
        </is>
      </c>
      <c r="M114" s="51" t="inlineStr">
        <is>
          <t>15m</t>
        </is>
      </c>
      <c r="N114" s="51" t="inlineStr">
        <is>
          <t>TF selector</t>
        </is>
      </c>
      <c r="O114" s="51" t="inlineStr">
        <is>
          <t>MOMENTUM_BREAKOUT_FILTER_TF</t>
        </is>
      </c>
      <c r="P114" s="51" t="inlineStr">
        <is>
          <t>getattr(cfg,"MOMENTUM_BREAKOUT_FILTER_TF")</t>
        </is>
      </c>
      <c r="Q114" s="35" t="inlineStr">
        <is>
          <t>NO</t>
        </is>
      </c>
    </row>
    <row r="115" ht="15.75" customHeight="1" s="67">
      <c r="A115" s="54" t="n">
        <v>93</v>
      </c>
      <c r="B115" s="55" t="inlineStr">
        <is>
          <t>MOMENTUM_BREAKOUT_FILTER_TF</t>
        </is>
      </c>
      <c r="C115" s="53" t="inlineStr">
        <is>
          <t>4h</t>
        </is>
      </c>
      <c r="D115" s="56" t="inlineStr">
        <is>
          <t>Momentum breakout confirmation TF. | Live read: `PLY_TO_OPEN', 'HTF_GATE_BYPASS_RZ', 'HTF_GATE_D_MANDATORY', 'HTF_GATE_MIN_CONFIR`</t>
        </is>
      </c>
      <c r="E115" s="56" t="inlineStr">
        <is>
          <t>GLOBAL_CHECK</t>
        </is>
      </c>
      <c r="F115" s="54" t="inlineStr">
        <is>
          <t>GLOBAL_CHECK</t>
        </is>
      </c>
      <c r="G115" s="56" t="inlineStr">
        <is>
          <t>MOMENTUM_BREAKOUT</t>
        </is>
      </c>
      <c r="H115" s="54" t="inlineStr">
        <is>
          <t>SPECIFIC — only gated switches</t>
        </is>
      </c>
      <c r="I115" s="54" t="inlineStr">
        <is>
          <t>LIVE — wired</t>
        </is>
      </c>
      <c r="J115" s="54" t="n"/>
      <c r="K115" s="51" t="inlineStr">
        <is>
          <t>1/4</t>
        </is>
      </c>
      <c r="L115" s="51" t="inlineStr">
        <is>
          <t>OFF, 15m, 1h, 4h, D (5 options)</t>
        </is>
      </c>
      <c r="M115" s="51" t="inlineStr">
        <is>
          <t>15m</t>
        </is>
      </c>
      <c r="N115" s="51" t="inlineStr">
        <is>
          <t>TF selector</t>
        </is>
      </c>
      <c r="O115" s="51" t="inlineStr">
        <is>
          <t>MOMENTUM_BREAKOUT_FILTER_TF</t>
        </is>
      </c>
      <c r="P115" s="51" t="inlineStr">
        <is>
          <t>getattr(cfg,"MOMENTUM_BREAKOUT_FILTER_TF")</t>
        </is>
      </c>
      <c r="Q115" s="35" t="inlineStr">
        <is>
          <t>NO</t>
        </is>
      </c>
    </row>
    <row r="116" ht="15.75" customHeight="1" s="67">
      <c r="A116" s="54" t="n">
        <v>93</v>
      </c>
      <c r="B116" s="55" t="inlineStr">
        <is>
          <t>MOMENTUM_BREAKOUT_FILTER_TF</t>
        </is>
      </c>
      <c r="C116" s="53" t="inlineStr">
        <is>
          <t>1h</t>
        </is>
      </c>
      <c r="D116" s="56" t="inlineStr">
        <is>
          <t>Momentum breakout confirmation TF. | Live read: `PLY_TO_OPEN', 'HTF_GATE_BYPASS_RZ', 'HTF_GATE_D_MANDATORY', 'HTF_GATE_MIN_CONFIR`</t>
        </is>
      </c>
      <c r="E116" s="56" t="inlineStr">
        <is>
          <t>GLOBAL_CHECK</t>
        </is>
      </c>
      <c r="F116" s="54" t="inlineStr">
        <is>
          <t>GLOBAL_CHECK</t>
        </is>
      </c>
      <c r="G116" s="56" t="inlineStr">
        <is>
          <t>MOMENTUM_BREAKOUT</t>
        </is>
      </c>
      <c r="H116" s="54" t="inlineStr">
        <is>
          <t>SPECIFIC — only gated switches</t>
        </is>
      </c>
      <c r="I116" s="54" t="inlineStr">
        <is>
          <t>LIVE — wired</t>
        </is>
      </c>
      <c r="J116" s="54" t="n"/>
      <c r="K116" s="51" t="inlineStr">
        <is>
          <t>1/4</t>
        </is>
      </c>
      <c r="L116" s="51" t="inlineStr">
        <is>
          <t>OFF, 15m, 1h, 4h, D (5 options)</t>
        </is>
      </c>
      <c r="M116" s="51" t="inlineStr">
        <is>
          <t>15m</t>
        </is>
      </c>
      <c r="N116" s="51" t="inlineStr">
        <is>
          <t>TF selector</t>
        </is>
      </c>
      <c r="O116" s="51" t="inlineStr">
        <is>
          <t>MOMENTUM_BREAKOUT_FILTER_TF</t>
        </is>
      </c>
      <c r="P116" s="51" t="inlineStr">
        <is>
          <t>getattr(cfg,"MOMENTUM_BREAKOUT_FILTER_TF")</t>
        </is>
      </c>
      <c r="Q116" s="35" t="inlineStr">
        <is>
          <t>NO</t>
        </is>
      </c>
    </row>
    <row r="117" ht="15.75" customHeight="1" s="67">
      <c r="A117" s="54" t="n">
        <v>93</v>
      </c>
      <c r="B117" s="57" t="inlineStr">
        <is>
          <t>MOMENTUM_BREAKOUT_FILTER_TF</t>
        </is>
      </c>
      <c r="C117" s="49" t="inlineStr">
        <is>
          <t>15m</t>
        </is>
      </c>
      <c r="D117" s="56" t="inlineStr">
        <is>
          <t>Momentum breakout confirmation TF. | Live read: `PLY_TO_OPEN', 'HTF_GATE_BYPASS_RZ', 'HTF_GATE_D_MANDATORY', 'HTF_GATE_MIN_CONFIR`</t>
        </is>
      </c>
      <c r="E117" s="56" t="inlineStr">
        <is>
          <t>GLOBAL_CHECK</t>
        </is>
      </c>
      <c r="F117" s="54" t="inlineStr">
        <is>
          <t>GLOBAL_CHECK</t>
        </is>
      </c>
      <c r="G117" s="56" t="inlineStr">
        <is>
          <t>MOMENTUM_BREAKOUT</t>
        </is>
      </c>
      <c r="H117" s="54" t="inlineStr">
        <is>
          <t>SPECIFIC — only gated switches</t>
        </is>
      </c>
      <c r="I117" s="54" t="inlineStr">
        <is>
          <t>LIVE — wired</t>
        </is>
      </c>
      <c r="J117" s="54" t="n"/>
      <c r="K117" s="51" t="inlineStr">
        <is>
          <t>1/4</t>
        </is>
      </c>
      <c r="L117" s="51" t="inlineStr">
        <is>
          <t>OFF, 15m, 1h, 4h, D (5 options)</t>
        </is>
      </c>
      <c r="M117" s="51" t="inlineStr">
        <is>
          <t>15m</t>
        </is>
      </c>
      <c r="N117" s="51" t="inlineStr">
        <is>
          <t>TF selector</t>
        </is>
      </c>
      <c r="O117" s="51" t="inlineStr">
        <is>
          <t>MOMENTUM_BREAKOUT_FILTER_TF</t>
        </is>
      </c>
      <c r="P117" s="51" t="inlineStr">
        <is>
          <t>getattr(cfg,"MOMENTUM_BREAKOUT_FILTER_TF")</t>
        </is>
      </c>
      <c r="Q117" s="35" t="inlineStr">
        <is>
          <t>YES</t>
        </is>
      </c>
    </row>
    <row r="118" ht="15.75" customHeight="1" s="67">
      <c r="A118" s="54" t="n">
        <v>97</v>
      </c>
      <c r="B118" s="55" t="inlineStr">
        <is>
          <t>MTF_DC_REJECT_FILTER_TF</t>
        </is>
      </c>
      <c r="C118" s="53" t="inlineStr">
        <is>
          <t>OFF</t>
        </is>
      </c>
      <c r="D118" s="56" t="inlineStr">
        <is>
          <t>Rejects DC breaks that fail MTF confirmation. | Live read: `TF_REGIME_LEDGER_PATH', 'HTF_REGIME_SIZE_CAP', 'HTF_REGIME_TF', 'HTF_REGIME_VOL_`</t>
        </is>
      </c>
      <c r="E118" s="56" t="inlineStr">
        <is>
          <t>GLOBAL_CHECK</t>
        </is>
      </c>
      <c r="F118" s="54" t="inlineStr">
        <is>
          <t>GLOBAL_CHECK</t>
        </is>
      </c>
      <c r="G118" s="56" t="inlineStr">
        <is>
          <t>MTF_DC_REJECT</t>
        </is>
      </c>
      <c r="H118" s="54" t="inlineStr">
        <is>
          <t>SPECIFIC — only gated switches</t>
        </is>
      </c>
      <c r="I118" s="54" t="inlineStr">
        <is>
          <t>LIVE — wired</t>
        </is>
      </c>
      <c r="J118" s="54" t="n"/>
      <c r="K118" s="51" t="inlineStr">
        <is>
          <t>1/4</t>
        </is>
      </c>
      <c r="L118" s="51" t="inlineStr">
        <is>
          <t>OFF, 15m, 1h, 4h, D (5 options)</t>
        </is>
      </c>
      <c r="M118" s="51" t="inlineStr">
        <is>
          <t>15m</t>
        </is>
      </c>
      <c r="N118" s="51" t="inlineStr">
        <is>
          <t>TF selector</t>
        </is>
      </c>
      <c r="O118" s="51" t="inlineStr">
        <is>
          <t>MTF_DC_REJECT_FILTER_TF</t>
        </is>
      </c>
      <c r="P118" s="51" t="inlineStr">
        <is>
          <t>getattr(cfg,"MTF_DC_REJECT_FILTER_TF")</t>
        </is>
      </c>
      <c r="Q118" s="35" t="inlineStr">
        <is>
          <t>NO</t>
        </is>
      </c>
    </row>
    <row r="119" ht="15.75" customHeight="1" s="67">
      <c r="A119" s="54" t="n">
        <v>97</v>
      </c>
      <c r="B119" s="57" t="inlineStr">
        <is>
          <t>MTF_DC_REJECT_FILTER_TF</t>
        </is>
      </c>
      <c r="C119" s="49" t="inlineStr">
        <is>
          <t>15m</t>
        </is>
      </c>
      <c r="D119" s="56" t="inlineStr">
        <is>
          <t>Rejects DC breaks that fail MTF confirmation. | Live read: `TF_REGIME_LEDGER_PATH', 'HTF_REGIME_SIZE_CAP', 'HTF_REGIME_TF', 'HTF_REGIME_VOL_`</t>
        </is>
      </c>
      <c r="E119" s="56" t="inlineStr">
        <is>
          <t>GLOBAL_CHECK</t>
        </is>
      </c>
      <c r="F119" s="54" t="inlineStr">
        <is>
          <t>GLOBAL_CHECK</t>
        </is>
      </c>
      <c r="G119" s="56" t="inlineStr">
        <is>
          <t>MTF_DC_REJECT</t>
        </is>
      </c>
      <c r="H119" s="54" t="inlineStr">
        <is>
          <t>SPECIFIC — only gated switches</t>
        </is>
      </c>
      <c r="I119" s="54" t="inlineStr">
        <is>
          <t>LIVE — wired</t>
        </is>
      </c>
      <c r="J119" s="54" t="n"/>
      <c r="K119" s="51" t="inlineStr">
        <is>
          <t>1/4</t>
        </is>
      </c>
      <c r="L119" s="51" t="inlineStr">
        <is>
          <t>OFF, 15m, 1h, 4h, D (5 options)</t>
        </is>
      </c>
      <c r="M119" s="51" t="inlineStr">
        <is>
          <t>15m</t>
        </is>
      </c>
      <c r="N119" s="51" t="inlineStr">
        <is>
          <t>TF selector</t>
        </is>
      </c>
      <c r="O119" s="51" t="inlineStr">
        <is>
          <t>MTF_DC_REJECT_FILTER_TF</t>
        </is>
      </c>
      <c r="P119" s="51" t="inlineStr">
        <is>
          <t>getattr(cfg,"MTF_DC_REJECT_FILTER_TF")</t>
        </is>
      </c>
      <c r="Q119" s="35" t="inlineStr">
        <is>
          <t>YES</t>
        </is>
      </c>
    </row>
    <row r="120" ht="15.75" customHeight="1" s="67">
      <c r="A120" s="54" t="n">
        <v>103</v>
      </c>
      <c r="B120" s="55" t="inlineStr">
        <is>
          <t>NEWBORN_LOSS_KILL_FILTER_TF</t>
        </is>
      </c>
      <c r="C120" s="53" t="inlineStr">
        <is>
          <t>OFF</t>
        </is>
      </c>
      <c r="D120" s="56" t="inlineStr">
        <is>
          <t>Kills newborn losers when velocity confirms against on FILTER_TF. | Live read: `ASS_ENABLED', 'HTF_TREND_VETO_BYPASS_REASONS', 'HTF_W_M_ALIGN_GATE', 'LEADERBOAR`</t>
        </is>
      </c>
      <c r="E120" s="56" t="inlineStr">
        <is>
          <t>GLOBAL_CHECK</t>
        </is>
      </c>
      <c r="F120" s="54" t="inlineStr">
        <is>
          <t>GLOBAL_CHECK</t>
        </is>
      </c>
      <c r="G120" s="56" t="inlineStr">
        <is>
          <t>NEWBORN_LOSS_KILL</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NEWBORN_LOSS_KILL_FILTER_TF</t>
        </is>
      </c>
      <c r="P120" s="51" t="inlineStr">
        <is>
          <t>getattr(cfg,"NEWBORN_LOSS_KILL_FILTER_TF")</t>
        </is>
      </c>
      <c r="Q120" s="35" t="inlineStr">
        <is>
          <t>NO</t>
        </is>
      </c>
    </row>
    <row r="121" ht="15.75" customHeight="1" s="67">
      <c r="A121" s="54" t="n">
        <v>103</v>
      </c>
      <c r="B121" s="55" t="inlineStr">
        <is>
          <t>NEWBORN_LOSS_KILL_FILTER_TF</t>
        </is>
      </c>
      <c r="C121" s="53" t="inlineStr">
        <is>
          <t>D</t>
        </is>
      </c>
      <c r="D121" s="56" t="inlineStr">
        <is>
          <t>Kills newborn losers when velocity confirms against on FILTER_TF. | Live read: `ASS_ENABLED', 'HTF_TREND_VETO_BYPASS_REASONS', 'HTF_W_M_ALIGN_GATE', 'LEADERBOAR`</t>
        </is>
      </c>
      <c r="E121" s="56" t="inlineStr">
        <is>
          <t>GLOBAL_CHECK</t>
        </is>
      </c>
      <c r="F121" s="54" t="inlineStr">
        <is>
          <t>GLOBAL_CHECK</t>
        </is>
      </c>
      <c r="G121" s="56" t="inlineStr">
        <is>
          <t>NEWBORN_LOSS_KILL</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NEWBORN_LOSS_KILL_FILTER_TF</t>
        </is>
      </c>
      <c r="P121" s="51" t="inlineStr">
        <is>
          <t>getattr(cfg,"NEWBORN_LOSS_KILL_FILTER_TF")</t>
        </is>
      </c>
      <c r="Q121" s="35" t="inlineStr">
        <is>
          <t>NO</t>
        </is>
      </c>
    </row>
    <row r="122" ht="15.75" customHeight="1" s="67">
      <c r="A122" s="54" t="n">
        <v>103</v>
      </c>
      <c r="B122" s="55" t="inlineStr">
        <is>
          <t>NEWBORN_LOSS_KILL_FILTER_TF</t>
        </is>
      </c>
      <c r="C122" s="53" t="inlineStr">
        <is>
          <t>4h</t>
        </is>
      </c>
      <c r="D122" s="56" t="inlineStr">
        <is>
          <t>Kills newborn losers when velocity confirms against on FILTER_TF. | Live read: `ASS_ENABLED', 'HTF_TREND_VETO_BYPASS_REASONS', 'HTF_W_M_ALIGN_GATE', 'LEADERBOAR`</t>
        </is>
      </c>
      <c r="E122" s="56" t="inlineStr">
        <is>
          <t>GLOBAL_CHECK</t>
        </is>
      </c>
      <c r="F122" s="54" t="inlineStr">
        <is>
          <t>GLOBAL_CHECK</t>
        </is>
      </c>
      <c r="G122" s="56" t="inlineStr">
        <is>
          <t>NEWBORN_LOSS_KILL</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NEWBORN_LOSS_KILL_FILTER_TF</t>
        </is>
      </c>
      <c r="P122" s="51" t="inlineStr">
        <is>
          <t>getattr(cfg,"NEWBORN_LOSS_KILL_FILTER_TF")</t>
        </is>
      </c>
      <c r="Q122" s="35" t="inlineStr">
        <is>
          <t>NO</t>
        </is>
      </c>
    </row>
    <row r="123" ht="15.75" customHeight="1" s="67">
      <c r="A123" s="54" t="n">
        <v>103</v>
      </c>
      <c r="B123" s="55" t="inlineStr">
        <is>
          <t>NEWBORN_LOSS_KILL_FILTER_TF</t>
        </is>
      </c>
      <c r="C123" s="53" t="inlineStr">
        <is>
          <t>1h</t>
        </is>
      </c>
      <c r="D123" s="56" t="inlineStr">
        <is>
          <t>Kills newborn losers when velocity confirms against on FILTER_TF. | Live read: `ASS_ENABLED', 'HTF_TREND_VETO_BYPASS_REASONS', 'HTF_W_M_ALIGN_GATE', 'LEADERBOAR`</t>
        </is>
      </c>
      <c r="E123" s="56" t="inlineStr">
        <is>
          <t>GLOBAL_CHECK</t>
        </is>
      </c>
      <c r="F123" s="54" t="inlineStr">
        <is>
          <t>GLOBAL_CHECK</t>
        </is>
      </c>
      <c r="G123" s="56" t="inlineStr">
        <is>
          <t>NEWBORN_LOSS_KILL</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NEWBORN_LOSS_KILL_FILTER_TF</t>
        </is>
      </c>
      <c r="P123" s="51" t="inlineStr">
        <is>
          <t>getattr(cfg,"NEWBORN_LOSS_KILL_FILTER_TF")</t>
        </is>
      </c>
      <c r="Q123" s="35" t="inlineStr">
        <is>
          <t>NO</t>
        </is>
      </c>
    </row>
    <row r="124" ht="15.75" customHeight="1" s="67">
      <c r="A124" s="54" t="n">
        <v>103</v>
      </c>
      <c r="B124" s="57" t="inlineStr">
        <is>
          <t>NEWBORN_LOSS_KILL_FILTER_TF</t>
        </is>
      </c>
      <c r="C124" s="49" t="inlineStr">
        <is>
          <t>15m</t>
        </is>
      </c>
      <c r="D124" s="56" t="inlineStr">
        <is>
          <t>Kills newborn losers when velocity confirms against on FILTER_TF. | Live read: `ASS_ENABLED', 'HTF_TREND_VETO_BYPASS_REASONS', 'HTF_W_M_ALIGN_GATE', 'LEADERBOAR`</t>
        </is>
      </c>
      <c r="E124" s="56" t="inlineStr">
        <is>
          <t>GLOBAL_CHECK</t>
        </is>
      </c>
      <c r="F124" s="54" t="inlineStr">
        <is>
          <t>GLOBAL_CHECK</t>
        </is>
      </c>
      <c r="G124" s="56" t="inlineStr">
        <is>
          <t>NEWBORN_LOSS_KILL</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NEWBORN_LOSS_KILL_FILTER_TF</t>
        </is>
      </c>
      <c r="P124" s="51" t="inlineStr">
        <is>
          <t>getattr(cfg,"NEWBORN_LOSS_KILL_FILTER_TF")</t>
        </is>
      </c>
      <c r="Q124" s="35" t="inlineStr">
        <is>
          <t>YES</t>
        </is>
      </c>
    </row>
    <row r="125" ht="15.75" customHeight="1" s="67">
      <c r="A125" s="54" t="n">
        <v>106</v>
      </c>
      <c r="B125" s="55" t="inlineStr">
        <is>
          <t>NEWBORN_PROTECT_FILTER_TF</t>
        </is>
      </c>
      <c r="C125" s="53" t="inlineStr">
        <is>
          <t>4h</t>
        </is>
      </c>
      <c r="D125"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125" s="56" t="inlineStr">
        <is>
          <t>GLOBAL_CHECK</t>
        </is>
      </c>
      <c r="F125" s="54" t="inlineStr">
        <is>
          <t>GLOBAL_CHECK</t>
        </is>
      </c>
      <c r="G125" s="56" t="inlineStr">
        <is>
          <t>NEWBORN_PROTECT</t>
        </is>
      </c>
      <c r="H125" s="54" t="inlineStr">
        <is>
          <t>SPECIFIC — only gated switches</t>
        </is>
      </c>
      <c r="I125" s="54" t="inlineStr">
        <is>
          <t>LIVE — wired</t>
        </is>
      </c>
      <c r="J125" s="54" t="n"/>
      <c r="K125" s="51" t="inlineStr">
        <is>
          <t>1/4</t>
        </is>
      </c>
      <c r="L125" s="51" t="inlineStr">
        <is>
          <t>OFF, 15m, 1h, 4h, D (5 options)</t>
        </is>
      </c>
      <c r="M125" s="51" t="inlineStr">
        <is>
          <t>15m</t>
        </is>
      </c>
      <c r="N125" s="51" t="inlineStr">
        <is>
          <t>TF selector</t>
        </is>
      </c>
      <c r="O125" s="51" t="inlineStr">
        <is>
          <t>NEWBORN_PROTECT_FILTER_TF</t>
        </is>
      </c>
      <c r="P125" s="51" t="inlineStr">
        <is>
          <t>getattr(cfg,"NEWBORN_PROTECT_FILTER_TF")</t>
        </is>
      </c>
      <c r="Q125" s="35" t="inlineStr">
        <is>
          <t>NO</t>
        </is>
      </c>
    </row>
    <row r="126" ht="15.75" customHeight="1" s="67">
      <c r="A126" s="54" t="n">
        <v>106</v>
      </c>
      <c r="B126" s="55" t="inlineStr">
        <is>
          <t>NEWBORN_PROTECT_FILTER_TF</t>
        </is>
      </c>
      <c r="C126" s="53" t="inlineStr">
        <is>
          <t>1h</t>
        </is>
      </c>
      <c r="D126"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126" s="56" t="inlineStr">
        <is>
          <t>GLOBAL_CHECK</t>
        </is>
      </c>
      <c r="F126" s="54" t="inlineStr">
        <is>
          <t>GLOBAL_CHECK</t>
        </is>
      </c>
      <c r="G126" s="56" t="inlineStr">
        <is>
          <t>NEWBORN_PROTECT</t>
        </is>
      </c>
      <c r="H126" s="54" t="inlineStr">
        <is>
          <t>SPECIFIC — only gated switches</t>
        </is>
      </c>
      <c r="I126" s="54" t="inlineStr">
        <is>
          <t>LIVE — wired</t>
        </is>
      </c>
      <c r="J126" s="54" t="n"/>
      <c r="K126" s="51" t="inlineStr">
        <is>
          <t>1/4</t>
        </is>
      </c>
      <c r="L126" s="51" t="inlineStr">
        <is>
          <t>OFF, 15m, 1h, 4h, D (5 options)</t>
        </is>
      </c>
      <c r="M126" s="51" t="inlineStr">
        <is>
          <t>15m</t>
        </is>
      </c>
      <c r="N126" s="51" t="inlineStr">
        <is>
          <t>TF selector</t>
        </is>
      </c>
      <c r="O126" s="51" t="inlineStr">
        <is>
          <t>NEWBORN_PROTECT_FILTER_TF</t>
        </is>
      </c>
      <c r="P126" s="51" t="inlineStr">
        <is>
          <t>getattr(cfg,"NEWBORN_PROTECT_FILTER_TF")</t>
        </is>
      </c>
      <c r="Q126" s="35" t="inlineStr">
        <is>
          <t>NO</t>
        </is>
      </c>
    </row>
    <row r="127" ht="15.75" customHeight="1" s="67">
      <c r="A127" s="54" t="n">
        <v>106</v>
      </c>
      <c r="B127" s="57" t="inlineStr">
        <is>
          <t>NEWBORN_PROTECT_FILTER_TF</t>
        </is>
      </c>
      <c r="C127" s="49" t="inlineStr">
        <is>
          <t>15m</t>
        </is>
      </c>
      <c r="D12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127" s="56" t="inlineStr">
        <is>
          <t>GLOBAL_CHECK</t>
        </is>
      </c>
      <c r="F127" s="54" t="inlineStr">
        <is>
          <t>GLOBAL_CHECK</t>
        </is>
      </c>
      <c r="G127" s="56" t="inlineStr">
        <is>
          <t>NEWBORN_PROTECT</t>
        </is>
      </c>
      <c r="H127" s="54" t="inlineStr">
        <is>
          <t>SPECIFIC — only gated switches</t>
        </is>
      </c>
      <c r="I127" s="54" t="inlineStr">
        <is>
          <t>LIVE — wired</t>
        </is>
      </c>
      <c r="J127" s="54" t="n"/>
      <c r="K127" s="51" t="inlineStr">
        <is>
          <t>1/4</t>
        </is>
      </c>
      <c r="L127" s="51" t="inlineStr">
        <is>
          <t>OFF, 15m, 1h, 4h, D (5 options)</t>
        </is>
      </c>
      <c r="M127" s="51" t="inlineStr">
        <is>
          <t>15m</t>
        </is>
      </c>
      <c r="N127" s="51" t="inlineStr">
        <is>
          <t>TF selector</t>
        </is>
      </c>
      <c r="O127" s="51" t="inlineStr">
        <is>
          <t>NEWBORN_PROTECT_FILTER_TF</t>
        </is>
      </c>
      <c r="P127" s="51" t="inlineStr">
        <is>
          <t>getattr(cfg,"NEWBORN_PROTECT_FILTER_TF")</t>
        </is>
      </c>
      <c r="Q127" s="35" t="inlineStr">
        <is>
          <t>YES</t>
        </is>
      </c>
    </row>
    <row r="128" ht="15.75" customHeight="1" s="67">
      <c r="A128" s="54" t="n">
        <v>108</v>
      </c>
      <c r="B128" s="55" t="inlineStr">
        <is>
          <t>NOLOSS_BYPASS_WT5OF5_FILTER_TF</t>
        </is>
      </c>
      <c r="C128" s="53" t="inlineStr">
        <is>
          <t>OFF</t>
        </is>
      </c>
      <c r="D128" s="56" t="inlineStr">
        <is>
          <t>Bypasses no-loss gate when WT 5of5 confirms (all WT TFs). | Live read: `', 'MI_STRUCT_EXIT_ENABLED', 'MI_VELOCITY_EXIT_ENABLED', 'MI_WAVE_EXIT_ENABLED',`</t>
        </is>
      </c>
      <c r="E128" s="56" t="inlineStr">
        <is>
          <t>GLOBAL_CHECK</t>
        </is>
      </c>
      <c r="F128" s="54" t="inlineStr">
        <is>
          <t>GLOBAL_CHECK</t>
        </is>
      </c>
      <c r="G128" s="56" t="inlineStr">
        <is>
          <t>NOLOSS_BYPASS_WT5OF5</t>
        </is>
      </c>
      <c r="H128" s="54" t="inlineStr">
        <is>
          <t>SPECIFIC — only gated switches</t>
        </is>
      </c>
      <c r="I128" s="54" t="inlineStr">
        <is>
          <t>LIVE — wired</t>
        </is>
      </c>
      <c r="J128" s="54" t="n"/>
      <c r="K128" s="51" t="inlineStr">
        <is>
          <t>1/4</t>
        </is>
      </c>
      <c r="L128" s="51" t="inlineStr">
        <is>
          <t>OFF, 15m, 1h, 4h, D (5 options)</t>
        </is>
      </c>
      <c r="M128" s="51" t="inlineStr">
        <is>
          <t>15m</t>
        </is>
      </c>
      <c r="N128" s="51" t="inlineStr">
        <is>
          <t>TF selector</t>
        </is>
      </c>
      <c r="O128" s="51" t="inlineStr">
        <is>
          <t>NOLOSS_BYPASS_WT5OF5_FILTER_TF</t>
        </is>
      </c>
      <c r="P128" s="51" t="inlineStr">
        <is>
          <t>getattr(cfg,"NOLOSS_BYPASS_WT5OF5_FILTER_TF")</t>
        </is>
      </c>
      <c r="Q128" s="35" t="inlineStr">
        <is>
          <t>NO</t>
        </is>
      </c>
    </row>
    <row r="129" ht="15.75" customHeight="1" s="67">
      <c r="A129" s="54" t="n">
        <v>108</v>
      </c>
      <c r="B129" s="55" t="inlineStr">
        <is>
          <t>NOLOSS_BYPASS_WT5OF5_FILTER_TF</t>
        </is>
      </c>
      <c r="C129" s="53" t="inlineStr">
        <is>
          <t>D</t>
        </is>
      </c>
      <c r="D129" s="56" t="inlineStr">
        <is>
          <t>Bypasses no-loss gate when WT 5of5 confirms (all WT TFs). | Live read: `', 'MI_STRUCT_EXIT_ENABLED', 'MI_VELOCITY_EXIT_ENABLED', 'MI_WAVE_EXIT_ENABLED',`</t>
        </is>
      </c>
      <c r="E129" s="56" t="inlineStr">
        <is>
          <t>GLOBAL_CHECK</t>
        </is>
      </c>
      <c r="F129" s="54" t="inlineStr">
        <is>
          <t>GLOBAL_CHECK</t>
        </is>
      </c>
      <c r="G129" s="56" t="inlineStr">
        <is>
          <t>NOLOSS_BYPASS_WT5OF5</t>
        </is>
      </c>
      <c r="H129" s="54" t="inlineStr">
        <is>
          <t>SPECIFIC — only gated switches</t>
        </is>
      </c>
      <c r="I129" s="54" t="inlineStr">
        <is>
          <t>LIVE — wired</t>
        </is>
      </c>
      <c r="J129" s="54" t="n"/>
      <c r="K129" s="51" t="inlineStr">
        <is>
          <t>1/4</t>
        </is>
      </c>
      <c r="L129" s="51" t="inlineStr">
        <is>
          <t>OFF, 15m, 1h, 4h, D (5 options)</t>
        </is>
      </c>
      <c r="M129" s="51" t="inlineStr">
        <is>
          <t>15m</t>
        </is>
      </c>
      <c r="N129" s="51" t="inlineStr">
        <is>
          <t>TF selector</t>
        </is>
      </c>
      <c r="O129" s="51" t="inlineStr">
        <is>
          <t>NOLOSS_BYPASS_WT5OF5_FILTER_TF</t>
        </is>
      </c>
      <c r="P129" s="51" t="inlineStr">
        <is>
          <t>getattr(cfg,"NOLOSS_BYPASS_WT5OF5_FILTER_TF")</t>
        </is>
      </c>
      <c r="Q129" s="35" t="inlineStr">
        <is>
          <t>NO</t>
        </is>
      </c>
    </row>
    <row r="130" ht="15.75" customHeight="1" s="67">
      <c r="A130" s="54" t="n">
        <v>108</v>
      </c>
      <c r="B130" s="55" t="inlineStr">
        <is>
          <t>NOLOSS_BYPASS_WT5OF5_FILTER_TF</t>
        </is>
      </c>
      <c r="C130" s="53" t="inlineStr">
        <is>
          <t>4h</t>
        </is>
      </c>
      <c r="D130" s="56" t="inlineStr">
        <is>
          <t>Bypasses no-loss gate when WT 5of5 confirms (all WT TFs). | Live read: `', 'MI_STRUCT_EXIT_ENABLED', 'MI_VELOCITY_EXIT_ENABLED', 'MI_WAVE_EXIT_ENABLED',`</t>
        </is>
      </c>
      <c r="E130" s="56" t="inlineStr">
        <is>
          <t>GLOBAL_CHECK</t>
        </is>
      </c>
      <c r="F130" s="54" t="inlineStr">
        <is>
          <t>GLOBAL_CHECK</t>
        </is>
      </c>
      <c r="G130" s="56" t="inlineStr">
        <is>
          <t>NOLOSS_BYPASS_WT5OF5</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NOLOSS_BYPASS_WT5OF5_FILTER_TF</t>
        </is>
      </c>
      <c r="P130" s="51" t="inlineStr">
        <is>
          <t>getattr(cfg,"NOLOSS_BYPASS_WT5OF5_FILTER_TF")</t>
        </is>
      </c>
      <c r="Q130" s="35" t="inlineStr">
        <is>
          <t>NO</t>
        </is>
      </c>
    </row>
    <row r="131" ht="15.75" customHeight="1" s="67">
      <c r="A131" s="54" t="n">
        <v>108</v>
      </c>
      <c r="B131" s="55" t="inlineStr">
        <is>
          <t>NOLOSS_BYPASS_WT5OF5_FILTER_TF</t>
        </is>
      </c>
      <c r="C131" s="53" t="inlineStr">
        <is>
          <t>1h</t>
        </is>
      </c>
      <c r="D131" s="56" t="inlineStr">
        <is>
          <t>Bypasses no-loss gate when WT 5of5 confirms (all WT TFs). | Live read: `', 'MI_STRUCT_EXIT_ENABLED', 'MI_VELOCITY_EXIT_ENABLED', 'MI_WAVE_EXIT_ENABLED',`</t>
        </is>
      </c>
      <c r="E131" s="56" t="inlineStr">
        <is>
          <t>GLOBAL_CHECK</t>
        </is>
      </c>
      <c r="F131" s="54" t="inlineStr">
        <is>
          <t>GLOBAL_CHECK</t>
        </is>
      </c>
      <c r="G131" s="56" t="inlineStr">
        <is>
          <t>NOLOSS_BYPASS_WT5OF5</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NOLOSS_BYPASS_WT5OF5_FILTER_TF</t>
        </is>
      </c>
      <c r="P131" s="51" t="inlineStr">
        <is>
          <t>getattr(cfg,"NOLOSS_BYPASS_WT5OF5_FILTER_TF")</t>
        </is>
      </c>
      <c r="Q131" s="35" t="inlineStr">
        <is>
          <t>NO</t>
        </is>
      </c>
    </row>
    <row r="132" ht="15.75" customHeight="1" s="67">
      <c r="A132" s="54" t="n">
        <v>108</v>
      </c>
      <c r="B132" s="57" t="inlineStr">
        <is>
          <t>NOLOSS_BYPASS_WT5OF5_FILTER_TF</t>
        </is>
      </c>
      <c r="C132" s="49" t="inlineStr">
        <is>
          <t>15m</t>
        </is>
      </c>
      <c r="D132" s="56" t="inlineStr">
        <is>
          <t>Bypasses no-loss gate when WT 5of5 confirms (all WT TFs). | Live read: `', 'MI_STRUCT_EXIT_ENABLED', 'MI_VELOCITY_EXIT_ENABLED', 'MI_WAVE_EXIT_ENABLED',`</t>
        </is>
      </c>
      <c r="E132" s="56" t="inlineStr">
        <is>
          <t>GLOBAL_CHECK</t>
        </is>
      </c>
      <c r="F132" s="54" t="inlineStr">
        <is>
          <t>GLOBAL_CHECK</t>
        </is>
      </c>
      <c r="G132" s="56" t="inlineStr">
        <is>
          <t>NOLOSS_BYPASS_WT5OF5</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NOLOSS_BYPASS_WT5OF5_FILTER_TF</t>
        </is>
      </c>
      <c r="P132" s="51" t="inlineStr">
        <is>
          <t>getattr(cfg,"NOLOSS_BYPASS_WT5OF5_FILTER_TF")</t>
        </is>
      </c>
      <c r="Q132" s="35" t="inlineStr">
        <is>
          <t>YES</t>
        </is>
      </c>
    </row>
    <row r="133" ht="15.75" customHeight="1" s="67">
      <c r="A133" s="54" t="n">
        <v>112</v>
      </c>
      <c r="B133" s="55" t="inlineStr">
        <is>
          <t>OPEN_INTENT_SIZE_GATES_FILTER_TF</t>
        </is>
      </c>
      <c r="C133" s="53" t="inlineStr">
        <is>
          <t>OFF</t>
        </is>
      </c>
      <c r="D133" s="56" t="inlineStr">
        <is>
          <t>Size gates for open intent on FILTER_TF. | Live read: `MOMENTUM_BREAKOUT_FILTER_TF', 'MOMENTUM_BREAKOUT_MIN_TFS', 'MTF_ARMED_BANDTYPES'`</t>
        </is>
      </c>
      <c r="E133" s="56" t="inlineStr">
        <is>
          <t>GLOBAL_CHECK</t>
        </is>
      </c>
      <c r="F133" s="54" t="inlineStr">
        <is>
          <t>GLOBAL_CHECK</t>
        </is>
      </c>
      <c r="G133" s="56" t="inlineStr">
        <is>
          <t>OPEN_INTENT_SIZE_GATES</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OPEN_INTENT_SIZE_GATES_FILTER_TF</t>
        </is>
      </c>
      <c r="P133" s="51" t="inlineStr">
        <is>
          <t>getattr(cfg,"OPEN_INTENT_SIZE_GATES_FILTER_TF")</t>
        </is>
      </c>
      <c r="Q133" s="35" t="inlineStr">
        <is>
          <t>NO</t>
        </is>
      </c>
    </row>
    <row r="134" ht="15.75" customHeight="1" s="67">
      <c r="A134" s="54" t="n">
        <v>112</v>
      </c>
      <c r="B134" s="55" t="inlineStr">
        <is>
          <t>OPEN_INTENT_SIZE_GATES_FILTER_TF</t>
        </is>
      </c>
      <c r="C134" s="53" t="inlineStr">
        <is>
          <t>D</t>
        </is>
      </c>
      <c r="D134" s="56" t="inlineStr">
        <is>
          <t>Size gates for open intent on FILTER_TF. | Live read: `MOMENTUM_BREAKOUT_FILTER_TF', 'MOMENTUM_BREAKOUT_MIN_TFS', 'MTF_ARMED_BANDTYPES'`</t>
        </is>
      </c>
      <c r="E134" s="56" t="inlineStr">
        <is>
          <t>GLOBAL_CHECK</t>
        </is>
      </c>
      <c r="F134" s="54" t="inlineStr">
        <is>
          <t>GLOBAL_CHECK</t>
        </is>
      </c>
      <c r="G134" s="56" t="inlineStr">
        <is>
          <t>OPEN_INTENT_SIZE_GATES</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OPEN_INTENT_SIZE_GATES_FILTER_TF</t>
        </is>
      </c>
      <c r="P134" s="51" t="inlineStr">
        <is>
          <t>getattr(cfg,"OPEN_INTENT_SIZE_GATES_FILTER_TF")</t>
        </is>
      </c>
      <c r="Q134" s="35" t="inlineStr">
        <is>
          <t>NO</t>
        </is>
      </c>
    </row>
    <row r="135" ht="15.75" customHeight="1" s="67">
      <c r="A135" s="54" t="n">
        <v>112</v>
      </c>
      <c r="B135" s="55" t="inlineStr">
        <is>
          <t>OPEN_INTENT_SIZE_GATES_FILTER_TF</t>
        </is>
      </c>
      <c r="C135" s="53" t="inlineStr">
        <is>
          <t>4h</t>
        </is>
      </c>
      <c r="D135" s="56" t="inlineStr">
        <is>
          <t>Size gates for open intent on FILTER_TF. | Live read: `MOMENTUM_BREAKOUT_FILTER_TF', 'MOMENTUM_BREAKOUT_MIN_TFS', 'MTF_ARMED_BANDTYPES'`</t>
        </is>
      </c>
      <c r="E135" s="56" t="inlineStr">
        <is>
          <t>GLOBAL_CHECK</t>
        </is>
      </c>
      <c r="F135" s="54" t="inlineStr">
        <is>
          <t>GLOBAL_CHECK</t>
        </is>
      </c>
      <c r="G135" s="56" t="inlineStr">
        <is>
          <t>OPEN_INTENT_SIZE_GATES</t>
        </is>
      </c>
      <c r="H135" s="54" t="inlineStr">
        <is>
          <t>SPECIFIC — only gated switches</t>
        </is>
      </c>
      <c r="I135" s="54" t="inlineStr">
        <is>
          <t>LIVE — wired</t>
        </is>
      </c>
      <c r="J135" s="54" t="n"/>
      <c r="K135" s="51" t="inlineStr">
        <is>
          <t>1/4</t>
        </is>
      </c>
      <c r="L135" s="51" t="inlineStr">
        <is>
          <t>OFF, 15m, 1h, 4h, D (5 options)</t>
        </is>
      </c>
      <c r="M135" s="51" t="inlineStr">
        <is>
          <t>15m</t>
        </is>
      </c>
      <c r="N135" s="51" t="inlineStr">
        <is>
          <t>TF selector</t>
        </is>
      </c>
      <c r="O135" s="51" t="inlineStr">
        <is>
          <t>OPEN_INTENT_SIZE_GATES_FILTER_TF</t>
        </is>
      </c>
      <c r="P135" s="51" t="inlineStr">
        <is>
          <t>getattr(cfg,"OPEN_INTENT_SIZE_GATES_FILTER_TF")</t>
        </is>
      </c>
      <c r="Q135" s="35" t="inlineStr">
        <is>
          <t>NO</t>
        </is>
      </c>
    </row>
    <row r="136" ht="15.75" customHeight="1" s="67">
      <c r="A136" s="54" t="n">
        <v>112</v>
      </c>
      <c r="B136" s="55" t="inlineStr">
        <is>
          <t>OPEN_INTENT_SIZE_GATES_FILTER_TF</t>
        </is>
      </c>
      <c r="C136" s="53" t="inlineStr">
        <is>
          <t>1h</t>
        </is>
      </c>
      <c r="D136" s="56" t="inlineStr">
        <is>
          <t>Size gates for open intent on FILTER_TF. | Live read: `MOMENTUM_BREAKOUT_FILTER_TF', 'MOMENTUM_BREAKOUT_MIN_TFS', 'MTF_ARMED_BANDTYPES'`</t>
        </is>
      </c>
      <c r="E136" s="56" t="inlineStr">
        <is>
          <t>GLOBAL_CHECK</t>
        </is>
      </c>
      <c r="F136" s="54" t="inlineStr">
        <is>
          <t>GLOBAL_CHECK</t>
        </is>
      </c>
      <c r="G136" s="56" t="inlineStr">
        <is>
          <t>OPEN_INTENT_SIZE_GATES</t>
        </is>
      </c>
      <c r="H136" s="54" t="inlineStr">
        <is>
          <t>SPECIFIC — only gated switches</t>
        </is>
      </c>
      <c r="I136" s="54" t="inlineStr">
        <is>
          <t>LIVE — wired</t>
        </is>
      </c>
      <c r="J136" s="54" t="n"/>
      <c r="K136" s="51" t="inlineStr">
        <is>
          <t>1/4</t>
        </is>
      </c>
      <c r="L136" s="51" t="inlineStr">
        <is>
          <t>OFF, 15m, 1h, 4h, D (5 options)</t>
        </is>
      </c>
      <c r="M136" s="51" t="inlineStr">
        <is>
          <t>15m</t>
        </is>
      </c>
      <c r="N136" s="51" t="inlineStr">
        <is>
          <t>TF selector</t>
        </is>
      </c>
      <c r="O136" s="51" t="inlineStr">
        <is>
          <t>OPEN_INTENT_SIZE_GATES_FILTER_TF</t>
        </is>
      </c>
      <c r="P136" s="51" t="inlineStr">
        <is>
          <t>getattr(cfg,"OPEN_INTENT_SIZE_GATES_FILTER_TF")</t>
        </is>
      </c>
      <c r="Q136" s="35" t="inlineStr">
        <is>
          <t>NO</t>
        </is>
      </c>
    </row>
    <row r="137" ht="15.75" customHeight="1" s="67">
      <c r="A137" s="54" t="n">
        <v>112</v>
      </c>
      <c r="B137" s="57" t="inlineStr">
        <is>
          <t>OPEN_INTENT_SIZE_GATES_FILTER_TF</t>
        </is>
      </c>
      <c r="C137" s="49" t="inlineStr">
        <is>
          <t>15m</t>
        </is>
      </c>
      <c r="D137" s="56" t="inlineStr">
        <is>
          <t>Size gates for open intent on FILTER_TF. | Live read: `MOMENTUM_BREAKOUT_FILTER_TF', 'MOMENTUM_BREAKOUT_MIN_TFS', 'MTF_ARMED_BANDTYPES'`</t>
        </is>
      </c>
      <c r="E137" s="56" t="inlineStr">
        <is>
          <t>GLOBAL_CHECK</t>
        </is>
      </c>
      <c r="F137" s="54" t="inlineStr">
        <is>
          <t>GLOBAL_CHECK</t>
        </is>
      </c>
      <c r="G137" s="56" t="inlineStr">
        <is>
          <t>OPEN_INTENT_SIZE_GATES</t>
        </is>
      </c>
      <c r="H137" s="54" t="inlineStr">
        <is>
          <t>SPECIFIC — only gated switches</t>
        </is>
      </c>
      <c r="I137" s="54" t="inlineStr">
        <is>
          <t>LIVE — wired</t>
        </is>
      </c>
      <c r="J137" s="54" t="n"/>
      <c r="K137" s="51" t="inlineStr">
        <is>
          <t>1/4</t>
        </is>
      </c>
      <c r="L137" s="51" t="inlineStr">
        <is>
          <t>OFF, 15m, 1h, 4h, D (5 options)</t>
        </is>
      </c>
      <c r="M137" s="51" t="inlineStr">
        <is>
          <t>15m</t>
        </is>
      </c>
      <c r="N137" s="51" t="inlineStr">
        <is>
          <t>TF selector</t>
        </is>
      </c>
      <c r="O137" s="51" t="inlineStr">
        <is>
          <t>OPEN_INTENT_SIZE_GATES_FILTER_TF</t>
        </is>
      </c>
      <c r="P137" s="51" t="inlineStr">
        <is>
          <t>getattr(cfg,"OPEN_INTENT_SIZE_GATES_FILTER_TF")</t>
        </is>
      </c>
      <c r="Q137" s="35" t="inlineStr">
        <is>
          <t>YES</t>
        </is>
      </c>
    </row>
    <row r="138" ht="15.75" customHeight="1" s="67">
      <c r="A138" s="54" t="n">
        <v>113</v>
      </c>
      <c r="B138" s="55" t="inlineStr">
        <is>
          <t>PARTIAL_PROFIT_LOCK_V2_FILTER_TF</t>
        </is>
      </c>
      <c r="C138" s="53" t="inlineStr">
        <is>
          <t>OFF</t>
        </is>
      </c>
      <c r="D138" s="56" t="inlineStr">
        <is>
          <t>Partial profit lock v2 confirmation TF. | Live read: `OUNCE_ENABLED', 'ENABLE_FAST_RISER_REDUCE', 'HAIKU_AUGMENT_FRACTION', 'HAIKU_AUG`</t>
        </is>
      </c>
      <c r="E138" s="56" t="inlineStr">
        <is>
          <t>GLOBAL_CHECK</t>
        </is>
      </c>
      <c r="F138" s="54" t="inlineStr">
        <is>
          <t>GLOBAL_CHECK</t>
        </is>
      </c>
      <c r="G138" s="56" t="inlineStr">
        <is>
          <t>PARTIAL_PROFIT_LOCK_V2</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PARTIAL_PROFIT_LOCK_V2_FILTER_TF</t>
        </is>
      </c>
      <c r="P138" s="51" t="inlineStr">
        <is>
          <t>getattr(cfg,"PARTIAL_PROFIT_LOCK_V2_FILTER_TF")</t>
        </is>
      </c>
      <c r="Q138" s="35" t="inlineStr">
        <is>
          <t>NO</t>
        </is>
      </c>
    </row>
    <row r="139" ht="15.75" customHeight="1" s="67">
      <c r="A139" s="54" t="n">
        <v>113</v>
      </c>
      <c r="B139" s="55" t="inlineStr">
        <is>
          <t>PARTIAL_PROFIT_LOCK_V2_FILTER_TF</t>
        </is>
      </c>
      <c r="C139" s="53" t="inlineStr">
        <is>
          <t>1h</t>
        </is>
      </c>
      <c r="D139" s="56" t="inlineStr">
        <is>
          <t>Partial profit lock v2 confirmation TF. | Live read: `OUNCE_ENABLED', 'ENABLE_FAST_RISER_REDUCE', 'HAIKU_AUGMENT_FRACTION', 'HAIKU_AUG`</t>
        </is>
      </c>
      <c r="E139" s="56" t="inlineStr">
        <is>
          <t>GLOBAL_CHECK</t>
        </is>
      </c>
      <c r="F139" s="54" t="inlineStr">
        <is>
          <t>GLOBAL_CHECK</t>
        </is>
      </c>
      <c r="G139" s="56" t="inlineStr">
        <is>
          <t>PARTIAL_PROFIT_LOCK_V2</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PARTIAL_PROFIT_LOCK_V2_FILTER_TF</t>
        </is>
      </c>
      <c r="P139" s="51" t="inlineStr">
        <is>
          <t>getattr(cfg,"PARTIAL_PROFIT_LOCK_V2_FILTER_TF")</t>
        </is>
      </c>
      <c r="Q139" s="35" t="inlineStr">
        <is>
          <t>NO</t>
        </is>
      </c>
    </row>
    <row r="140" ht="15.75" customHeight="1" s="67">
      <c r="A140" s="54" t="n">
        <v>114</v>
      </c>
      <c r="B140" s="55" t="inlineStr">
        <is>
          <t>PEAK_GIVEBACK_BE_EROSION_FILTER_TF</t>
        </is>
      </c>
      <c r="C140" s="53" t="inlineStr">
        <is>
          <t>1h</t>
        </is>
      </c>
      <c r="D140" s="56" t="inlineStr">
        <is>
          <t>Peak giveback / breakeven erosion filter TF. | Live read: `OCH_EXTREME', 'LR_BAND_LADDER_TF_BOTTOM', 'LR_BAND_LADDER_TF_TOP', 'LTF_ALIGN_GA`</t>
        </is>
      </c>
      <c r="E140" s="56" t="inlineStr">
        <is>
          <t>GLOBAL_CHECK</t>
        </is>
      </c>
      <c r="F140" s="54" t="inlineStr">
        <is>
          <t>GLOBAL_CHECK</t>
        </is>
      </c>
      <c r="G140" s="56" t="inlineStr">
        <is>
          <t>PEAK_GIVEBACK_BE_EROSION</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PEAK_GIVEBACK_BE_EROSION_FILTER_TF</t>
        </is>
      </c>
      <c r="P140" s="51" t="inlineStr">
        <is>
          <t>getattr(cfg,"PEAK_GIVEBACK_BE_EROSION_FILTER_TF")</t>
        </is>
      </c>
      <c r="Q140" s="35" t="inlineStr">
        <is>
          <t>NO</t>
        </is>
      </c>
    </row>
    <row r="141" ht="15.75" customHeight="1" s="67">
      <c r="A141" s="54" t="n">
        <v>114</v>
      </c>
      <c r="B141" s="57" t="inlineStr">
        <is>
          <t>PEAK_GIVEBACK_BE_EROSION_FILTER_TF</t>
        </is>
      </c>
      <c r="C141" s="49" t="inlineStr">
        <is>
          <t>15m</t>
        </is>
      </c>
      <c r="D141" s="56" t="inlineStr">
        <is>
          <t>Peak giveback / breakeven erosion filter TF. | Live read: `OCH_EXTREME', 'LR_BAND_LADDER_TF_BOTTOM', 'LR_BAND_LADDER_TF_TOP', 'LTF_ALIGN_GA`</t>
        </is>
      </c>
      <c r="E141" s="56" t="inlineStr">
        <is>
          <t>GLOBAL_CHECK</t>
        </is>
      </c>
      <c r="F141" s="54" t="inlineStr">
        <is>
          <t>GLOBAL_CHECK</t>
        </is>
      </c>
      <c r="G141" s="56" t="inlineStr">
        <is>
          <t>PEAK_GIVEBACK_BE_EROSION</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PEAK_GIVEBACK_BE_EROSION_FILTER_TF</t>
        </is>
      </c>
      <c r="P141" s="51" t="inlineStr">
        <is>
          <t>getattr(cfg,"PEAK_GIVEBACK_BE_EROSION_FILTER_TF")</t>
        </is>
      </c>
      <c r="Q141" s="35" t="inlineStr">
        <is>
          <t>YES</t>
        </is>
      </c>
    </row>
    <row r="142" ht="15.75" customHeight="1" s="67">
      <c r="A142" s="35" t="n">
        <v>421</v>
      </c>
      <c r="B142" s="35" t="inlineStr">
        <is>
          <t>WT_15M_BOUNCE_BB_MIN</t>
        </is>
      </c>
      <c r="C142" s="35" t="n">
        <v>0.05</v>
      </c>
      <c r="D142" s="35" t="inlineStr">
        <is>
          <t>Sub-filter for WT_15M_BOUNCE_OPEN_ENABLED TRUE - WT_15M_BOUNCE_BB_MIN=0.05 (moved from switch rows to filter dictionary to prevent premature discard of WT True neg delta)</t>
        </is>
      </c>
      <c r="E142" s="35" t="inlineStr">
        <is>
          <t>ENTRY_PULLBACK_BOUNCE</t>
        </is>
      </c>
      <c r="F142" s="35" t="inlineStr">
        <is>
          <t>ENTRY_REVERSAL_BOUNCE</t>
        </is>
      </c>
      <c r="G142" s="35" t="inlineStr">
        <is>
          <t>WT_15M_BOUNCE_OPEN_ENABLED</t>
        </is>
      </c>
      <c r="H142" s="35" t="inlineStr">
        <is>
          <t>SPECIFIC — only gated switches</t>
        </is>
      </c>
      <c r="I142" s="35" t="inlineStr">
        <is>
          <t>LIVE — wired (QuickConfig)</t>
        </is>
      </c>
    </row>
    <row r="143" ht="15.75" customHeight="1" s="67">
      <c r="A143" s="35" t="n">
        <v>422</v>
      </c>
      <c r="B143" s="35" t="inlineStr">
        <is>
          <t>WT_15M_BOUNCE_BB_MIN</t>
        </is>
      </c>
      <c r="C143" s="35" t="n">
        <v>0.1</v>
      </c>
      <c r="D143" s="35" t="inlineStr">
        <is>
          <t>Sub-filter for WT_15M_BOUNCE_OPEN_ENABLED TRUE - WT_15M_BOUNCE_BB_MIN=0.1 (moved from switch rows to filter dictionary to prevent premature discard of WT True neg delta)</t>
        </is>
      </c>
      <c r="E143" s="35" t="inlineStr">
        <is>
          <t>ENTRY_PULLBACK_BOUNCE</t>
        </is>
      </c>
      <c r="F143" s="35" t="inlineStr">
        <is>
          <t>ENTRY_REVERSAL_BOUNCE</t>
        </is>
      </c>
      <c r="G143" s="35" t="inlineStr">
        <is>
          <t>WT_15M_BOUNCE_OPEN_ENABLED</t>
        </is>
      </c>
      <c r="H143" s="35" t="inlineStr">
        <is>
          <t>SPECIFIC — only gated switches</t>
        </is>
      </c>
      <c r="I143" s="35" t="inlineStr">
        <is>
          <t>LIVE — wired (QuickConfig)</t>
        </is>
      </c>
    </row>
    <row r="144" ht="15.75" customHeight="1" s="67">
      <c r="A144" s="35" t="n">
        <v>423</v>
      </c>
      <c r="B144" s="35" t="inlineStr">
        <is>
          <t>WT_15M_BOUNCE_BB_MIN</t>
        </is>
      </c>
      <c r="C144" s="35" t="n">
        <v>0.2</v>
      </c>
      <c r="D144" s="35" t="inlineStr">
        <is>
          <t>Sub-filter for WT_15M_BOUNCE_OPEN_ENABLED TRUE - WT_15M_BOUNCE_BB_MIN=0.2 (moved from switch rows to filter dictionary to prevent premature discard of WT True neg delta)</t>
        </is>
      </c>
      <c r="E144" s="35" t="inlineStr">
        <is>
          <t>ENTRY_PULLBACK_BOUNCE</t>
        </is>
      </c>
      <c r="F144" s="35" t="inlineStr">
        <is>
          <t>ENTRY_REVERSAL_BOUNCE</t>
        </is>
      </c>
      <c r="G144" s="35" t="inlineStr">
        <is>
          <t>WT_15M_BOUNCE_OPEN_ENABLED</t>
        </is>
      </c>
      <c r="H144" s="35" t="inlineStr">
        <is>
          <t>SPECIFIC — only gated switches</t>
        </is>
      </c>
      <c r="I144" s="35" t="inlineStr">
        <is>
          <t>LIVE — wired (QuickConfig)</t>
        </is>
      </c>
    </row>
    <row r="145" ht="15.75" customHeight="1" s="67">
      <c r="A145" s="35" t="n">
        <v>424</v>
      </c>
      <c r="B145" s="35" t="inlineStr">
        <is>
          <t>WT_15M_BOUNCE_BB_MAX</t>
        </is>
      </c>
      <c r="C145" s="35" t="n">
        <v>0.95</v>
      </c>
      <c r="D145" s="35" t="inlineStr">
        <is>
          <t>Sub-filter for WT_15M_BOUNCE_OPEN_ENABLED TRUE - WT_15M_BOUNCE_BB_MAX=0.95 (moved from switch rows to filter dictionary to prevent premature discard of WT True neg delta)</t>
        </is>
      </c>
      <c r="E145" s="35" t="inlineStr">
        <is>
          <t>ENTRY_PULLBACK_BOUNCE</t>
        </is>
      </c>
      <c r="F145" s="35" t="inlineStr">
        <is>
          <t>ENTRY_REVERSAL_BOUNCE</t>
        </is>
      </c>
      <c r="G145" s="35" t="inlineStr">
        <is>
          <t>WT_15M_BOUNCE_OPEN_ENABLED</t>
        </is>
      </c>
      <c r="H145" s="35" t="inlineStr">
        <is>
          <t>SPECIFIC — only gated switches</t>
        </is>
      </c>
      <c r="I145" s="35" t="inlineStr">
        <is>
          <t>LIVE — wired (QuickConfig)</t>
        </is>
      </c>
    </row>
    <row r="146" ht="15.75" customHeight="1" s="67">
      <c r="A146" s="35" t="n">
        <v>425</v>
      </c>
      <c r="B146" s="35" t="inlineStr">
        <is>
          <t>WT_15M_BOUNCE_BB_MAX</t>
        </is>
      </c>
      <c r="C146" s="35" t="n">
        <v>0.9</v>
      </c>
      <c r="D146" s="35" t="inlineStr">
        <is>
          <t>Sub-filter for WT_15M_BOUNCE_OPEN_ENABLED TRUE - WT_15M_BOUNCE_BB_MAX=0.9 (moved from switch rows to filter dictionary to prevent premature discard of WT True neg delta)</t>
        </is>
      </c>
      <c r="E146" s="35" t="inlineStr">
        <is>
          <t>ENTRY_PULLBACK_BOUNCE</t>
        </is>
      </c>
      <c r="F146" s="35" t="inlineStr">
        <is>
          <t>ENTRY_REVERSAL_BOUNCE</t>
        </is>
      </c>
      <c r="G146" s="35" t="inlineStr">
        <is>
          <t>WT_15M_BOUNCE_OPEN_ENABLED</t>
        </is>
      </c>
      <c r="H146" s="35" t="inlineStr">
        <is>
          <t>SPECIFIC — only gated switches</t>
        </is>
      </c>
      <c r="I146" s="35" t="inlineStr">
        <is>
          <t>LIVE — wired (QuickConfig)</t>
        </is>
      </c>
    </row>
    <row r="147" ht="15.75" customHeight="1" s="67">
      <c r="A147" s="35" t="n">
        <v>426</v>
      </c>
      <c r="B147" s="35" t="inlineStr">
        <is>
          <t>WT_15M_BOUNCE_BB_MAX</t>
        </is>
      </c>
      <c r="C147" s="35" t="n">
        <v>0.8</v>
      </c>
      <c r="D147" s="35" t="inlineStr">
        <is>
          <t>Sub-filter for WT_15M_BOUNCE_OPEN_ENABLED TRUE - WT_15M_BOUNCE_BB_MAX=0.8 (moved from switch rows to filter dictionary to prevent premature discard of WT True neg delta)</t>
        </is>
      </c>
      <c r="E147" s="35" t="inlineStr">
        <is>
          <t>ENTRY_PULLBACK_BOUNCE</t>
        </is>
      </c>
      <c r="F147" s="35" t="inlineStr">
        <is>
          <t>ENTRY_REVERSAL_BOUNCE</t>
        </is>
      </c>
      <c r="G147" s="35" t="inlineStr">
        <is>
          <t>WT_15M_BOUNCE_OPEN_ENABLED</t>
        </is>
      </c>
      <c r="H147" s="35" t="inlineStr">
        <is>
          <t>SPECIFIC — only gated switches</t>
        </is>
      </c>
      <c r="I147" s="35" t="inlineStr">
        <is>
          <t>LIVE — wired (QuickConfig)</t>
        </is>
      </c>
    </row>
    <row r="148" ht="15.75" customHeight="1" s="67">
      <c r="A148" s="35" t="n">
        <v>427</v>
      </c>
      <c r="B148" s="35" t="inlineStr">
        <is>
          <t>WT_15M_BOUNCE_LOW_1H_GT_PREV</t>
        </is>
      </c>
      <c r="C148" s="35" t="b">
        <v>1</v>
      </c>
      <c r="D148" s="35" t="inlineStr">
        <is>
          <t>Sub-filter for WT_15M_BOUNCE_OPEN_ENABLED TRUE - WT_15M_BOUNCE_LOW_1H_GT_PREV=True (moved from switch rows to filter dictionary to prevent premature discard of WT True neg delta)</t>
        </is>
      </c>
      <c r="E148" s="35" t="inlineStr">
        <is>
          <t>ENTRY_PULLBACK_BOUNCE</t>
        </is>
      </c>
      <c r="F148" s="35" t="inlineStr">
        <is>
          <t>ENTRY_REVERSAL_BOUNCE</t>
        </is>
      </c>
      <c r="G148" s="35" t="inlineStr">
        <is>
          <t>WT_15M_BOUNCE_OPEN_ENABLED</t>
        </is>
      </c>
      <c r="H148" s="35" t="inlineStr">
        <is>
          <t>SPECIFIC — only gated switches</t>
        </is>
      </c>
      <c r="I148" s="35" t="inlineStr">
        <is>
          <t>LIVE — wired (QuickConfig)</t>
        </is>
      </c>
    </row>
    <row r="149" ht="15.75" customHeight="1" s="67">
      <c r="A149" s="35" t="n">
        <v>428</v>
      </c>
      <c r="B149" s="35" t="inlineStr">
        <is>
          <t>WT_15M_BOUNCE_LOW_1H_GT_PREV</t>
        </is>
      </c>
      <c r="C149" s="35" t="b">
        <v>0</v>
      </c>
      <c r="D149" s="35" t="inlineStr">
        <is>
          <t>Sub-filter for WT_15M_BOUNCE_OPEN_ENABLED TRUE - WT_15M_BOUNCE_LOW_1H_GT_PREV=False (moved from switch rows to filter dictionary to prevent premature discard of WT True neg delta)</t>
        </is>
      </c>
      <c r="E149" s="35" t="inlineStr">
        <is>
          <t>ENTRY_PULLBACK_BOUNCE</t>
        </is>
      </c>
      <c r="F149" s="35" t="inlineStr">
        <is>
          <t>ENTRY_REVERSAL_BOUNCE</t>
        </is>
      </c>
      <c r="G149" s="35" t="inlineStr">
        <is>
          <t>WT_15M_BOUNCE_OPEN_ENABLED</t>
        </is>
      </c>
      <c r="H149" s="35" t="inlineStr">
        <is>
          <t>SPECIFIC — only gated switches</t>
        </is>
      </c>
      <c r="I149" s="35" t="inlineStr">
        <is>
          <t>LIVE — wired (QuickConfig)</t>
        </is>
      </c>
    </row>
    <row r="150" ht="15.75" customHeight="1" s="67">
      <c r="A150" s="35" t="n">
        <v>429</v>
      </c>
      <c r="B150" s="35" t="inlineStr">
        <is>
          <t>WT_15M_BOUNCE_HIGH_1H_GT_PREV</t>
        </is>
      </c>
      <c r="C150" s="35" t="b">
        <v>1</v>
      </c>
      <c r="D150" s="35" t="inlineStr">
        <is>
          <t>Sub-filter for WT_15M_BOUNCE_OPEN_ENABLED TRUE - WT_15M_BOUNCE_HIGH_1H_GT_PREV=True (moved from switch rows to filter dictionary to prevent premature discard of WT True neg delta)</t>
        </is>
      </c>
      <c r="E150" s="35" t="inlineStr">
        <is>
          <t>ENTRY_PULLBACK_BOUNCE</t>
        </is>
      </c>
      <c r="F150" s="35" t="inlineStr">
        <is>
          <t>ENTRY_REVERSAL_BOUNCE</t>
        </is>
      </c>
      <c r="G150" s="35" t="inlineStr">
        <is>
          <t>WT_15M_BOUNCE_OPEN_ENABLED</t>
        </is>
      </c>
      <c r="H150" s="35" t="inlineStr">
        <is>
          <t>SPECIFIC — only gated switches</t>
        </is>
      </c>
      <c r="I150" s="35" t="inlineStr">
        <is>
          <t>LIVE — wired (QuickConfig)</t>
        </is>
      </c>
    </row>
    <row r="151" ht="15.75" customHeight="1" s="67">
      <c r="A151" s="35" t="n">
        <v>430</v>
      </c>
      <c r="B151" s="35" t="inlineStr">
        <is>
          <t>WT_15M_BOUNCE_HIGH_1H_GT_PREV</t>
        </is>
      </c>
      <c r="C151" s="35" t="b">
        <v>0</v>
      </c>
      <c r="D151" s="35" t="inlineStr">
        <is>
          <t>Sub-filter for WT_15M_BOUNCE_OPEN_ENABLED TRUE - WT_15M_BOUNCE_HIGH_1H_GT_PREV=False (moved from switch rows to filter dictionary to prevent premature discard of WT True neg delta)</t>
        </is>
      </c>
      <c r="E151" s="35" t="inlineStr">
        <is>
          <t>ENTRY_PULLBACK_BOUNCE</t>
        </is>
      </c>
      <c r="F151" s="35" t="inlineStr">
        <is>
          <t>ENTRY_REVERSAL_BOUNCE</t>
        </is>
      </c>
      <c r="G151" s="35" t="inlineStr">
        <is>
          <t>WT_15M_BOUNCE_OPEN_ENABLED</t>
        </is>
      </c>
      <c r="H151" s="35" t="inlineStr">
        <is>
          <t>SPECIFIC — only gated switches</t>
        </is>
      </c>
      <c r="I151" s="35" t="inlineStr">
        <is>
          <t>LIVE — wired (QuickConfig)</t>
        </is>
      </c>
    </row>
    <row r="152" ht="15.75" customHeight="1" s="67">
      <c r="A152" s="35" t="n">
        <v>431</v>
      </c>
      <c r="B152" s="35" t="inlineStr">
        <is>
          <t>WT_15M_BOUNCE_REL_VOL_GT_1</t>
        </is>
      </c>
      <c r="C152" s="35" t="b">
        <v>1</v>
      </c>
      <c r="D152" s="35" t="inlineStr">
        <is>
          <t>Sub-filter for WT_15M_BOUNCE_OPEN_ENABLED TRUE - WT_15M_BOUNCE_REL_VOL_GT_1=True (moved from switch rows to filter dictionary to prevent premature discard of WT True neg delta)</t>
        </is>
      </c>
      <c r="E152" s="35" t="inlineStr">
        <is>
          <t>ENTRY_PULLBACK_BOUNCE</t>
        </is>
      </c>
      <c r="F152" s="35" t="inlineStr">
        <is>
          <t>ENTRY_REVERSAL_BOUNCE</t>
        </is>
      </c>
      <c r="G152" s="35" t="inlineStr">
        <is>
          <t>WT_15M_BOUNCE_OPEN_ENABLED</t>
        </is>
      </c>
      <c r="H152" s="35" t="inlineStr">
        <is>
          <t>SPECIFIC — only gated switches</t>
        </is>
      </c>
      <c r="I152" s="35" t="inlineStr">
        <is>
          <t>LIVE — wired (QuickConfig)</t>
        </is>
      </c>
    </row>
    <row r="153" ht="15.75" customHeight="1" s="67">
      <c r="A153" s="35" t="n">
        <v>432</v>
      </c>
      <c r="B153" s="35" t="inlineStr">
        <is>
          <t>WT_15M_BOUNCE_REL_VOL_GT_1</t>
        </is>
      </c>
      <c r="C153" s="35" t="b">
        <v>0</v>
      </c>
      <c r="D153" s="35" t="inlineStr">
        <is>
          <t>Sub-filter for WT_15M_BOUNCE_OPEN_ENABLED TRUE - WT_15M_BOUNCE_REL_VOL_GT_1=False (moved from switch rows to filter dictionary to prevent premature discard of WT True neg delta)</t>
        </is>
      </c>
      <c r="E153" s="35" t="inlineStr">
        <is>
          <t>ENTRY_PULLBACK_BOUNCE</t>
        </is>
      </c>
      <c r="F153" s="35" t="inlineStr">
        <is>
          <t>ENTRY_REVERSAL_BOUNCE</t>
        </is>
      </c>
      <c r="G153" s="35" t="inlineStr">
        <is>
          <t>WT_15M_BOUNCE_OPEN_ENABLED</t>
        </is>
      </c>
      <c r="H153" s="35" t="inlineStr">
        <is>
          <t>SPECIFIC — only gated switches</t>
        </is>
      </c>
      <c r="I153" s="35" t="inlineStr">
        <is>
          <t>LIVE — wired (QuickConfig)</t>
        </is>
      </c>
    </row>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8" t="inlineStr">
        <is>
          <t>Switch</t>
        </is>
      </c>
      <c r="B1" s="78" t="inlineStr">
        <is>
          <t>Description</t>
        </is>
      </c>
      <c r="C1" s="78" t="inlineStr">
        <is>
          <t>Default</t>
        </is>
      </c>
      <c r="D1" s="78" t="inlineStr">
        <is>
          <t>Override</t>
        </is>
      </c>
      <c r="E1" s="78" t="inlineStr">
        <is>
          <t>Provenance</t>
        </is>
      </c>
      <c r="F1" s="78" t="inlineStr">
        <is>
          <t>P</t>
        </is>
      </c>
      <c r="G1" s="78" t="inlineStr">
        <is>
          <t>Vectorizable</t>
        </is>
      </c>
      <c r="H1" s="78" t="inlineStr">
        <is>
          <t>Tested in v12 on every v15_pilot run</t>
        </is>
      </c>
    </row>
    <row r="2">
      <c r="A2" s="0" t="inlineStr">
        <is>
          <t>LIVE_ENTRY_ENGINE_ENABLED</t>
        </is>
      </c>
      <c r="B2" s="0" t="inlineStr">
        <is>
          <t>P1 master</t>
        </is>
      </c>
      <c r="C2" s="0" t="inlineStr">
        <is>
          <t>True</t>
        </is>
      </c>
      <c r="D2" s="0" t="inlineStr">
        <is>
          <t>True</t>
        </is>
      </c>
      <c r="E2" s="0" t="inlineStr">
        <is>
          <t>P1..P9</t>
        </is>
      </c>
      <c r="F2" s="0" t="inlineStr">
        <is>
          <t>LIV</t>
        </is>
      </c>
      <c r="G2" s="0" t="inlineStr">
        <is>
          <t>no</t>
        </is>
      </c>
      <c r="H2" s="0" t="inlineStr">
        <is>
          <t>forward hourly</t>
        </is>
      </c>
    </row>
    <row r="3">
      <c r="A3" s="0" t="inlineStr">
        <is>
          <t>LIVE_ENTRY_ENGINE_WT_ENABLED</t>
        </is>
      </c>
      <c r="B3" s="0" t="inlineStr">
        <is>
          <t>P1 WT</t>
        </is>
      </c>
      <c r="C3" s="0" t="inlineStr">
        <is>
          <t>True</t>
        </is>
      </c>
      <c r="D3" s="0" t="inlineStr">
        <is>
          <t>True</t>
        </is>
      </c>
      <c r="E3" s="0" t="inlineStr">
        <is>
          <t>P1..P9</t>
        </is>
      </c>
      <c r="F3" s="0" t="inlineStr">
        <is>
          <t>LIV</t>
        </is>
      </c>
      <c r="G3" s="0" t="inlineStr">
        <is>
          <t>no</t>
        </is>
      </c>
      <c r="H3" s="0" t="inlineStr">
        <is>
          <t>forward hourly</t>
        </is>
      </c>
    </row>
    <row r="4">
      <c r="A4" s="0" t="inlineStr">
        <is>
          <t>LIVE_ENTRY_ENGINE_STOCH_ENABLED</t>
        </is>
      </c>
      <c r="B4" s="0" t="inlineStr">
        <is>
          <t>P1 Stoch</t>
        </is>
      </c>
      <c r="C4" s="0" t="inlineStr">
        <is>
          <t>True</t>
        </is>
      </c>
      <c r="D4" s="0" t="inlineStr">
        <is>
          <t>True</t>
        </is>
      </c>
      <c r="E4" s="0" t="inlineStr">
        <is>
          <t>P1..P9</t>
        </is>
      </c>
      <c r="F4" s="0" t="inlineStr">
        <is>
          <t>LIV</t>
        </is>
      </c>
      <c r="G4" s="0" t="inlineStr">
        <is>
          <t>no</t>
        </is>
      </c>
      <c r="H4" s="0" t="inlineStr">
        <is>
          <t>forward hourly</t>
        </is>
      </c>
    </row>
    <row r="5">
      <c r="A5" s="0" t="inlineStr">
        <is>
          <t>LIVE_ENTRY_ENGINE_DC_ENABLED</t>
        </is>
      </c>
      <c r="B5" s="0" t="inlineStr">
        <is>
          <t>P1 DC</t>
        </is>
      </c>
      <c r="C5" s="0" t="inlineStr">
        <is>
          <t>True</t>
        </is>
      </c>
      <c r="D5" s="0" t="inlineStr">
        <is>
          <t>True</t>
        </is>
      </c>
      <c r="E5" s="0" t="inlineStr">
        <is>
          <t>P1..P9</t>
        </is>
      </c>
      <c r="F5" s="0" t="inlineStr">
        <is>
          <t>LIV</t>
        </is>
      </c>
      <c r="G5" s="0" t="inlineStr">
        <is>
          <t>no</t>
        </is>
      </c>
      <c r="H5" s="0" t="inlineStr">
        <is>
          <t>forward hourly</t>
        </is>
      </c>
    </row>
    <row r="6">
      <c r="A6" s="0" t="inlineStr">
        <is>
          <t>LIVE_ENTRY_ENGINE_HTF_ENABLED</t>
        </is>
      </c>
      <c r="B6" s="0" t="inlineStr">
        <is>
          <t>P1 HTF</t>
        </is>
      </c>
      <c r="C6" s="0" t="inlineStr">
        <is>
          <t>True</t>
        </is>
      </c>
      <c r="D6" s="0" t="inlineStr">
        <is>
          <t>True</t>
        </is>
      </c>
      <c r="E6" s="0" t="inlineStr">
        <is>
          <t>P1..P9</t>
        </is>
      </c>
      <c r="F6" s="0" t="inlineStr">
        <is>
          <t>LIV</t>
        </is>
      </c>
      <c r="G6" s="0" t="inlineStr">
        <is>
          <t>no</t>
        </is>
      </c>
      <c r="H6" s="0" t="inlineStr">
        <is>
          <t>forward hourly</t>
        </is>
      </c>
    </row>
    <row r="7">
      <c r="A7" s="0" t="inlineStr">
        <is>
          <t>LIVE_ENTRY_ENGINE_STDEV_MACRO_ENABLED</t>
        </is>
      </c>
      <c r="B7" s="0" t="inlineStr">
        <is>
          <t>P1 Stdev</t>
        </is>
      </c>
      <c r="C7" s="0" t="inlineStr">
        <is>
          <t>True</t>
        </is>
      </c>
      <c r="D7" s="0" t="inlineStr">
        <is>
          <t>True</t>
        </is>
      </c>
      <c r="E7" s="0" t="inlineStr">
        <is>
          <t>P1..P9</t>
        </is>
      </c>
      <c r="F7" s="0" t="inlineStr">
        <is>
          <t>LIV</t>
        </is>
      </c>
      <c r="G7" s="0" t="inlineStr">
        <is>
          <t>no</t>
        </is>
      </c>
      <c r="H7" s="0" t="inlineStr">
        <is>
          <t>forward hourly</t>
        </is>
      </c>
    </row>
    <row r="8">
      <c r="A8" s="0" t="inlineStr">
        <is>
          <t>ABLATION_DISABLE_DC_BREACH_REDUCE</t>
        </is>
      </c>
      <c r="B8" s="0" t="inlineStr">
        <is>
          <t>P2 DC crash</t>
        </is>
      </c>
      <c r="C8" s="0" t="inlineStr">
        <is>
          <t>False</t>
        </is>
      </c>
      <c r="D8" s="0" t="inlineStr">
        <is>
          <t>False</t>
        </is>
      </c>
      <c r="E8" s="0" t="inlineStr">
        <is>
          <t>P1..P9</t>
        </is>
      </c>
      <c r="F8" s="0" t="inlineStr">
        <is>
          <t>ABL</t>
        </is>
      </c>
      <c r="G8" s="0" t="inlineStr">
        <is>
          <t>no</t>
        </is>
      </c>
      <c r="H8" s="0" t="inlineStr">
        <is>
          <t>forward hourly</t>
        </is>
      </c>
    </row>
    <row r="9">
      <c r="A9" s="0" t="inlineStr">
        <is>
          <t>ABLATION_DISABLE_HEDGE</t>
        </is>
      </c>
      <c r="B9" s="0" t="inlineStr">
        <is>
          <t>P2 hedge</t>
        </is>
      </c>
      <c r="C9" s="0" t="inlineStr">
        <is>
          <t>False</t>
        </is>
      </c>
      <c r="D9" s="0" t="inlineStr">
        <is>
          <t>False</t>
        </is>
      </c>
      <c r="E9" s="0" t="inlineStr">
        <is>
          <t>P1..P9</t>
        </is>
      </c>
      <c r="F9" s="0" t="inlineStr">
        <is>
          <t>ABL</t>
        </is>
      </c>
      <c r="G9" s="0" t="inlineStr">
        <is>
          <t>no</t>
        </is>
      </c>
      <c r="H9" s="0" t="inlineStr">
        <is>
          <t>forward hourly</t>
        </is>
      </c>
    </row>
    <row r="10">
      <c r="A10" s="0" t="inlineStr">
        <is>
          <t>ABLATION_DISABLE_AGGRESSIVE_HEDGE</t>
        </is>
      </c>
      <c r="B10" s="0" t="inlineStr">
        <is>
          <t>P2 agg hedge</t>
        </is>
      </c>
      <c r="C10" s="0" t="inlineStr">
        <is>
          <t>False</t>
        </is>
      </c>
      <c r="D10" s="0" t="inlineStr">
        <is>
          <t>False</t>
        </is>
      </c>
      <c r="E10" s="0" t="inlineStr">
        <is>
          <t>P1..P9</t>
        </is>
      </c>
      <c r="F10" s="0" t="inlineStr">
        <is>
          <t>ABL</t>
        </is>
      </c>
      <c r="G10" s="0" t="inlineStr">
        <is>
          <t>no</t>
        </is>
      </c>
      <c r="H10" s="0" t="inlineStr">
        <is>
          <t>forward hourly</t>
        </is>
      </c>
    </row>
    <row r="11">
      <c r="A11" s="0" t="inlineStr">
        <is>
          <t>REENTRY_B02_BC156_BOTTOM_ENABLED</t>
        </is>
      </c>
      <c r="B11" s="0" t="inlineStr">
        <is>
          <t>P4 B02</t>
        </is>
      </c>
      <c r="C11" s="0" t="inlineStr">
        <is>
          <t>True</t>
        </is>
      </c>
      <c r="D11" s="0" t="inlineStr">
        <is>
          <t>True</t>
        </is>
      </c>
      <c r="E11" s="0" t="inlineStr">
        <is>
          <t>P1..P9</t>
        </is>
      </c>
      <c r="F11" s="0" t="inlineStr">
        <is>
          <t>REE</t>
        </is>
      </c>
      <c r="G11" s="0" t="inlineStr">
        <is>
          <t>no</t>
        </is>
      </c>
      <c r="H11" s="0" t="inlineStr">
        <is>
          <t>forward hourly</t>
        </is>
      </c>
    </row>
    <row r="12">
      <c r="A12" s="0" t="inlineStr">
        <is>
          <t>ABLATION_DISABLE_AUGMENTATION</t>
        </is>
      </c>
      <c r="B12" s="0" t="inlineStr">
        <is>
          <t>P4 aug</t>
        </is>
      </c>
      <c r="C12" s="0" t="inlineStr">
        <is>
          <t>False</t>
        </is>
      </c>
      <c r="D12" s="0" t="inlineStr">
        <is>
          <t>False</t>
        </is>
      </c>
      <c r="E12" s="0" t="inlineStr">
        <is>
          <t>P1..P9</t>
        </is>
      </c>
      <c r="F12" s="0" t="inlineStr">
        <is>
          <t>ABL</t>
        </is>
      </c>
      <c r="G12" s="0" t="inlineStr">
        <is>
          <t>no</t>
        </is>
      </c>
      <c r="H12" s="0" t="inlineStr">
        <is>
          <t>forward hourly</t>
        </is>
      </c>
    </row>
    <row r="13">
      <c r="A13" s="0" t="inlineStr">
        <is>
          <t>ABLATION_DISABLE_RATIO_REBALANCE</t>
        </is>
      </c>
      <c r="B13" s="0" t="inlineStr">
        <is>
          <t>P5 ratio</t>
        </is>
      </c>
      <c r="C13" s="0" t="inlineStr">
        <is>
          <t>False</t>
        </is>
      </c>
      <c r="D13" s="0" t="inlineStr">
        <is>
          <t>False</t>
        </is>
      </c>
      <c r="E13" s="0" t="inlineStr">
        <is>
          <t>P1..P9</t>
        </is>
      </c>
      <c r="F13" s="0" t="inlineStr">
        <is>
          <t>ABL</t>
        </is>
      </c>
      <c r="G13" s="0" t="inlineStr">
        <is>
          <t>no</t>
        </is>
      </c>
      <c r="H13" s="0" t="inlineStr">
        <is>
          <t>forward hourly</t>
        </is>
      </c>
    </row>
    <row r="14">
      <c r="A14" s="0" t="inlineStr">
        <is>
          <t>ABLATION_DISABLE_QUICK_ENTRY</t>
        </is>
      </c>
      <c r="B14" s="0" t="inlineStr">
        <is>
          <t>P6 entry</t>
        </is>
      </c>
      <c r="C14" s="0" t="inlineStr">
        <is>
          <t>False</t>
        </is>
      </c>
      <c r="D14" s="0" t="inlineStr">
        <is>
          <t>False</t>
        </is>
      </c>
      <c r="E14" s="0" t="inlineStr">
        <is>
          <t>P1..P9</t>
        </is>
      </c>
      <c r="F14" s="0" t="inlineStr">
        <is>
          <t>ABL</t>
        </is>
      </c>
      <c r="G14" s="0" t="inlineStr">
        <is>
          <t>yes</t>
        </is>
      </c>
      <c r="H14" s="0" t="inlineStr">
        <is>
          <t>yes</t>
        </is>
      </c>
    </row>
    <row r="15">
      <c r="A15" s="0" t="inlineStr">
        <is>
          <t>ABLATION_DISABLE_QUICK_EXIT</t>
        </is>
      </c>
      <c r="B15" s="0" t="inlineStr">
        <is>
          <t>P6 exit</t>
        </is>
      </c>
      <c r="C15" s="0" t="inlineStr">
        <is>
          <t>False</t>
        </is>
      </c>
      <c r="D15" s="0" t="inlineStr">
        <is>
          <t>False</t>
        </is>
      </c>
      <c r="E15" s="0" t="inlineStr">
        <is>
          <t>P1..P9</t>
        </is>
      </c>
      <c r="F15" s="0" t="inlineStr">
        <is>
          <t>ABL</t>
        </is>
      </c>
      <c r="G15" s="0" t="inlineStr">
        <is>
          <t>yes</t>
        </is>
      </c>
      <c r="H15" s="0" t="inlineStr">
        <is>
          <t>yes</t>
        </is>
      </c>
    </row>
    <row r="16">
      <c r="A16" s="0" t="inlineStr">
        <is>
          <t>ABLATION_DISABLE_REENTRY_ENFORCE</t>
        </is>
      </c>
      <c r="B16" s="0" t="inlineStr">
        <is>
          <t>P6 reentry</t>
        </is>
      </c>
      <c r="C16" s="0" t="inlineStr">
        <is>
          <t>False</t>
        </is>
      </c>
      <c r="D16" s="0" t="inlineStr">
        <is>
          <t>False</t>
        </is>
      </c>
      <c r="E16" s="0" t="inlineStr">
        <is>
          <t>P1..P9</t>
        </is>
      </c>
      <c r="F16" s="0" t="inlineStr">
        <is>
          <t>ABL</t>
        </is>
      </c>
      <c r="G16" s="0" t="inlineStr">
        <is>
          <t>yes</t>
        </is>
      </c>
      <c r="H16" s="0" t="inlineStr">
        <is>
          <t>yes</t>
        </is>
      </c>
    </row>
    <row r="17">
      <c r="A17" s="0" t="inlineStr">
        <is>
          <t>ABLATION_DISABLE_SPIKE_FADE_EXIT</t>
        </is>
      </c>
      <c r="B17" s="0" t="inlineStr">
        <is>
          <t>P7 spike</t>
        </is>
      </c>
      <c r="C17" s="0" t="inlineStr">
        <is>
          <t>False</t>
        </is>
      </c>
      <c r="D17" s="0" t="inlineStr">
        <is>
          <t>False</t>
        </is>
      </c>
      <c r="E17" s="0" t="inlineStr">
        <is>
          <t>P1..P9</t>
        </is>
      </c>
      <c r="F17" s="0" t="inlineStr">
        <is>
          <t>ABL</t>
        </is>
      </c>
      <c r="G17" s="0" t="inlineStr">
        <is>
          <t>no</t>
        </is>
      </c>
      <c r="H17" s="0" t="inlineStr">
        <is>
          <t>forward hourly</t>
        </is>
      </c>
    </row>
    <row r="18">
      <c r="A18" s="0" t="inlineStr">
        <is>
          <t>ABLATION_DISABLE_SCALP_GUARD</t>
        </is>
      </c>
      <c r="B18" s="0" t="inlineStr">
        <is>
          <t>P7 scalp</t>
        </is>
      </c>
      <c r="C18" s="0" t="inlineStr">
        <is>
          <t>False</t>
        </is>
      </c>
      <c r="D18" s="0" t="inlineStr">
        <is>
          <t>False</t>
        </is>
      </c>
      <c r="E18" s="0" t="inlineStr">
        <is>
          <t>P1..P9</t>
        </is>
      </c>
      <c r="F18" s="0" t="inlineStr">
        <is>
          <t>ABL</t>
        </is>
      </c>
      <c r="G18" s="0" t="inlineStr">
        <is>
          <t>no</t>
        </is>
      </c>
      <c r="H18" s="0" t="inlineStr">
        <is>
          <t>forward hourly</t>
        </is>
      </c>
    </row>
    <row r="19">
      <c r="A19" s="0" t="inlineStr">
        <is>
          <t>ABLATION_DISABLE_HIGH_GAIN_AUGMENT</t>
        </is>
      </c>
      <c r="B19" s="0" t="inlineStr">
        <is>
          <t>P7 high gain</t>
        </is>
      </c>
      <c r="C19" s="0" t="inlineStr">
        <is>
          <t>False</t>
        </is>
      </c>
      <c r="D19" s="0" t="inlineStr">
        <is>
          <t>False</t>
        </is>
      </c>
      <c r="E19" s="0" t="inlineStr">
        <is>
          <t>P1..P9</t>
        </is>
      </c>
      <c r="F19" s="0" t="inlineStr">
        <is>
          <t>ABL</t>
        </is>
      </c>
      <c r="G19" s="0" t="inlineStr">
        <is>
          <t>no</t>
        </is>
      </c>
      <c r="H19" s="0" t="inlineStr">
        <is>
          <t>forward hourly</t>
        </is>
      </c>
    </row>
    <row r="20">
      <c r="A20" s="0" t="inlineStr">
        <is>
          <t>ABLATION_DISABLE_PERIODIC_REENTRY</t>
        </is>
      </c>
      <c r="B20" s="0" t="inlineStr">
        <is>
          <t>P7 periodic</t>
        </is>
      </c>
      <c r="C20" s="0" t="inlineStr">
        <is>
          <t>False</t>
        </is>
      </c>
      <c r="D20" s="0" t="inlineStr">
        <is>
          <t>False</t>
        </is>
      </c>
      <c r="E20" s="0" t="inlineStr">
        <is>
          <t>P1..P9</t>
        </is>
      </c>
      <c r="F20" s="0" t="inlineStr">
        <is>
          <t>ABL</t>
        </is>
      </c>
      <c r="G20" s="0" t="inlineStr">
        <is>
          <t>no</t>
        </is>
      </c>
      <c r="H20" s="0" t="inlineStr">
        <is>
          <t>forward hourly</t>
        </is>
      </c>
    </row>
    <row r="21">
      <c r="A21" s="0" t="inlineStr">
        <is>
          <t>ABLATION_DISABLE_ENTRY_LEADERBOARD</t>
        </is>
      </c>
      <c r="B21" s="0" t="inlineStr">
        <is>
          <t>P8 adaptive</t>
        </is>
      </c>
      <c r="C21" s="0" t="inlineStr">
        <is>
          <t>False</t>
        </is>
      </c>
      <c r="D21" s="0" t="inlineStr">
        <is>
          <t>False</t>
        </is>
      </c>
      <c r="E21" s="0" t="inlineStr">
        <is>
          <t>P1..P9</t>
        </is>
      </c>
      <c r="F21" s="0" t="inlineStr">
        <is>
          <t>ABL</t>
        </is>
      </c>
      <c r="G21" s="0" t="inlineStr">
        <is>
          <t>no</t>
        </is>
      </c>
      <c r="H21" s="0" t="inlineStr">
        <is>
          <t>forward hourly</t>
        </is>
      </c>
    </row>
    <row r="22">
      <c r="A22" s="0" t="inlineStr">
        <is>
          <t>LIVE_ENTRY_ENGINE_FILTER_TF</t>
        </is>
      </c>
      <c r="B22" s="0" t="inlineStr">
        <is>
          <t>P9 filter</t>
        </is>
      </c>
      <c r="C22" s="0" t="inlineStr">
        <is>
          <t>15m</t>
        </is>
      </c>
      <c r="D22" s="0" t="inlineStr">
        <is>
          <t>15m</t>
        </is>
      </c>
      <c r="E22" s="0" t="inlineStr">
        <is>
          <t>P1..P9</t>
        </is>
      </c>
      <c r="F22" s="0" t="inlineStr">
        <is>
          <t>LIV</t>
        </is>
      </c>
      <c r="G22" s="0" t="inlineStr">
        <is>
          <t>yes</t>
        </is>
      </c>
      <c r="H22" s="0" t="inlineStr">
        <is>
          <t>yes</t>
        </is>
      </c>
    </row>
    <row r="23">
      <c r="A23" s="0" t="inlineStr">
        <is>
          <t>AUGMENTATION_COOLDOWN_MINUTES</t>
        </is>
      </c>
      <c r="B23" s="0" t="inlineStr">
        <is>
          <t>5m stocks (was 0)</t>
        </is>
      </c>
      <c r="C23" s="0" t="inlineStr">
        <is>
          <t>5</t>
        </is>
      </c>
      <c r="D23" s="0" t="inlineStr">
        <is>
          <t>5</t>
        </is>
      </c>
      <c r="E23" s="0" t="inlineStr">
        <is>
          <t>P1..P9</t>
        </is>
      </c>
      <c r="F23" s="0" t="inlineStr">
        <is>
          <t>AUG</t>
        </is>
      </c>
      <c r="G23" s="0" t="inlineStr">
        <is>
          <t>yes</t>
        </is>
      </c>
      <c r="H23" s="0" t="inlineStr">
        <is>
          <t>yes</t>
        </is>
      </c>
    </row>
    <row r="24">
      <c r="A24" s="0" t="inlineStr">
        <is>
          <t>AUGMENTATION_COOLDOWN_SECONDS</t>
        </is>
      </c>
      <c r="B24" s="0" t="inlineStr">
        <is>
          <t>5m stocks 300s</t>
        </is>
      </c>
      <c r="C24" s="0" t="inlineStr">
        <is>
          <t>300</t>
        </is>
      </c>
      <c r="D24" s="0" t="inlineStr">
        <is>
          <t>300</t>
        </is>
      </c>
      <c r="E24" s="0" t="inlineStr">
        <is>
          <t>P1..P9</t>
        </is>
      </c>
      <c r="F24" s="0" t="inlineStr">
        <is>
          <t>AUG</t>
        </is>
      </c>
      <c r="G24" s="0" t="inlineStr">
        <is>
          <t>yes</t>
        </is>
      </c>
      <c r="H24" s="0" t="inlineStr">
        <is>
          <t>yes</t>
        </is>
      </c>
    </row>
    <row r="25">
      <c r="A25" s="0" t="inlineStr">
        <is>
          <t>BASE_TF</t>
        </is>
      </c>
      <c r="B25" s="0" t="inlineStr">
        <is>
          <t>P3 micro</t>
        </is>
      </c>
      <c r="C25" s="0" t="inlineStr">
        <is>
          <t>3m/5m</t>
        </is>
      </c>
      <c r="D25" s="0" t="inlineStr">
        <is>
          <t>3m/5m</t>
        </is>
      </c>
      <c r="E25" s="0" t="inlineStr">
        <is>
          <t>P1..P9</t>
        </is>
      </c>
      <c r="F25" s="0" t="inlineStr">
        <is>
          <t>BAS</t>
        </is>
      </c>
      <c r="G25" s="0" t="inlineStr">
        <is>
          <t>partial</t>
        </is>
      </c>
      <c r="H25" s="0" t="inlineStr">
        <is>
          <t>yes</t>
        </is>
      </c>
    </row>
    <row r="26">
      <c r="A26" s="0" t="inlineStr">
        <is>
          <t>WT_DC_STOCH_TF</t>
        </is>
      </c>
      <c r="B26" s="0" t="inlineStr">
        <is>
          <t>P3 WT DC</t>
        </is>
      </c>
      <c r="C26" s="0" t="inlineStr">
        <is>
          <t>5m/15m</t>
        </is>
      </c>
      <c r="D26" s="0" t="inlineStr">
        <is>
          <t>5m/15m</t>
        </is>
      </c>
      <c r="E26" s="0" t="inlineStr">
        <is>
          <t>P1..P9</t>
        </is>
      </c>
      <c r="F26" s="0" t="inlineStr">
        <is>
          <t>WT_</t>
        </is>
      </c>
      <c r="G26" s="0" t="inlineStr">
        <is>
          <t>partial</t>
        </is>
      </c>
      <c r="H26" s="0" t="inlineStr">
        <is>
          <t>yes</t>
        </is>
      </c>
    </row>
    <row r="27">
      <c r="A27" s="0" t="inlineStr">
        <is>
          <t>RULE_B_3M_EXIT_ENABLED</t>
        </is>
      </c>
      <c r="B27" s="0" t="inlineStr">
        <is>
          <t>P3 3m Rule B exit without guaranteed reentry (OFF by default, npz unverifiable)</t>
        </is>
      </c>
      <c r="C27" s="0" t="inlineStr">
        <is>
          <t>False</t>
        </is>
      </c>
      <c r="D27" s="0" t="inlineStr">
        <is>
          <t>False</t>
        </is>
      </c>
      <c r="E27" s="0" t="inlineStr">
        <is>
          <t>P3</t>
        </is>
      </c>
      <c r="G27" s="0" t="inlineStr">
        <is>
          <t>no</t>
        </is>
      </c>
      <c r="H27" s="0" t="inlineStr">
        <is>
          <t>forward hourly (npz unverifiable)</t>
        </is>
      </c>
    </row>
    <row r="28">
      <c r="A28" s="0" t="inlineStr">
        <is>
          <t>RULE_B_5M_EXIT_ENABLED</t>
        </is>
      </c>
      <c r="B28" s="0" t="inlineStr">
        <is>
          <t>P3 5m Rule B exit without guaranteed reentry (OFF by default)</t>
        </is>
      </c>
      <c r="C28" s="0" t="inlineStr">
        <is>
          <t>False</t>
        </is>
      </c>
      <c r="D28" s="0" t="inlineStr">
        <is>
          <t>False</t>
        </is>
      </c>
      <c r="E28" s="0" t="inlineStr">
        <is>
          <t>P3</t>
        </is>
      </c>
      <c r="G28" s="0" t="inlineStr">
        <is>
          <t>no</t>
        </is>
      </c>
      <c r="H28" s="0"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2026-09-19T04:01:54Z</dcterms:created>
  <dcterms:modified xsi:type="dcterms:W3CDTF">2026-09-22T14:54:43Z</dcterms:modified>
</cp:coreProperties>
</file>